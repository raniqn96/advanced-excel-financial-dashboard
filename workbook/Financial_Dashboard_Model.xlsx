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Lookups" sheetId="3" state="visible" r:id="rId3"/>
    <sheet xmlns:r="http://schemas.openxmlformats.org/officeDocument/2006/relationships" name="Data_Sales" sheetId="4" state="visible" r:id="rId4"/>
    <sheet xmlns:r="http://schemas.openxmlformats.org/officeDocument/2006/relationships" name="Data_GL" sheetId="5" state="visible" r:id="rId5"/>
    <sheet xmlns:r="http://schemas.openxmlformats.org/officeDocument/2006/relationships" name="Pivot_Summary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Budget_vs_Actual" sheetId="8" state="visible" r:id="rId8"/>
    <sheet xmlns:r="http://schemas.openxmlformats.org/officeDocument/2006/relationships" name="Foreca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&quot;-&quot;"/>
    <numFmt numFmtId="165" formatCode="0.0%;(0.0%);&quot;-&quot;"/>
    <numFmt numFmtId="166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</font>
    <font>
      <name val="Arial"/>
      <b val="1"/>
      <color rgb="00FFFFFF"/>
    </font>
    <font>
      <name val="Arial"/>
      <color rgb="000000FF"/>
    </font>
    <font>
      <name val="Arial"/>
      <i val="1"/>
      <color rgb="00808080"/>
      <sz val="8"/>
    </font>
    <font>
      <name val="Arial"/>
      <color rgb="00000000"/>
    </font>
    <font>
      <name val="Arial"/>
      <b val="1"/>
    </font>
    <font>
      <name val="Arial"/>
      <color rgb="00008000"/>
    </font>
    <font>
      <name val="Arial"/>
      <b val="1"/>
      <color rgb="001F3864"/>
      <sz val="12"/>
    </font>
    <font>
      <name val="Arial"/>
      <b val="1"/>
      <color rgb="001F3864"/>
      <sz val="14"/>
    </font>
    <font>
      <name val="Arial"/>
      <b val="1"/>
      <color rgb="001F386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4" fillId="3" borderId="1" pivotButton="0" quotePrefix="0" xfId="0"/>
    <xf numFmtId="0" fontId="11" fillId="0" borderId="0" pivotButton="0" quotePrefix="0" xfId="0"/>
    <xf numFmtId="0" fontId="3" fillId="5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horizontal="center"/>
    </xf>
    <xf numFmtId="165" fontId="10" fillId="4" borderId="1" applyAlignment="1" pivotButton="0" quotePrefix="0" xfId="0">
      <alignment horizontal="center"/>
    </xf>
    <xf numFmtId="3" fontId="10" fillId="4" borderId="1" applyAlignment="1" pivotButton="0" quotePrefix="0" xfId="0">
      <alignment horizontal="center"/>
    </xf>
    <xf numFmtId="1" fontId="10" fillId="4" borderId="1" applyAlignment="1" pivotButton="0" quotePrefix="0" xfId="0">
      <alignment horizontal="center"/>
    </xf>
    <xf numFmtId="164" fontId="0" fillId="0" borderId="0" pivotButton="0" quotePrefix="0" xfId="0"/>
    <xf numFmtId="0" fontId="6" fillId="0" borderId="1" pivotButton="0" quotePrefix="0" xfId="0"/>
    <xf numFmtId="165" fontId="4" fillId="3" borderId="1" pivotButton="0" quotePrefix="0" xfId="0"/>
    <xf numFmtId="0" fontId="2" fillId="0" borderId="1" pivotButton="0" quotePrefix="0" xfId="0"/>
    <xf numFmtId="0" fontId="3" fillId="2" borderId="1" pivotButton="0" quotePrefix="0" xfId="0"/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5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4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164" fontId="4" fillId="0" borderId="0" pivotButton="0" quotePrefix="0" xfId="0"/>
    <xf numFmtId="164" fontId="8" fillId="0" borderId="1" pivotButton="0" quotePrefix="0" xfId="0"/>
    <xf numFmtId="164" fontId="7" fillId="0" borderId="1" pivotButton="0" quotePrefix="0" xfId="0"/>
    <xf numFmtId="164" fontId="7" fillId="4" borderId="1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0" fontId="7" fillId="0" borderId="1" pivotButton="0" quotePrefix="0" xfId="0"/>
    <xf numFmtId="0" fontId="0" fillId="0" borderId="1" pivotButton="0" quotePrefix="0" xfId="0"/>
    <xf numFmtId="0" fontId="7" fillId="4" borderId="1" pivotButton="0" quotePrefix="0" xfId="0"/>
    <xf numFmtId="165" fontId="7" fillId="4" borderId="1" pivotButton="0" quotePrefix="0" xfId="0"/>
    <xf numFmtId="164" fontId="8" fillId="0" borderId="0" pivotButton="0" quotePrefix="0" xfId="0"/>
  </cellXfs>
  <cellStyles count="1">
    <cellStyle name="Normal" xfId="0" builtinId="0" hidden="0"/>
  </cellStyles>
  <dxfs count="6">
    <dxf>
      <font>
        <b val="1"/>
        <color rgb="00C00000"/>
        <sz val="14"/>
      </font>
    </dxf>
    <dxf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C00000"/>
      </font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&amp; Gross Profit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'Dashboard'!$J$8:$J$19</f>
            </numRef>
          </cat>
          <val>
            <numRef>
              <f>'Dashboard'!$K$8:$K$19</f>
            </numRef>
          </val>
        </ser>
        <ser>
          <idx val="1"/>
          <order val="1"/>
          <tx>
            <strRef>
              <f>'Dashboard'!L7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'Dashboard'!$J$8:$J$19</f>
            </numRef>
          </cat>
          <val>
            <numRef>
              <f>'Dashboard'!$L$8:$L$19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'Pivot_Summary'!N4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'Pivot_Summary'!$A$5:$A$8</f>
            </numRef>
          </cat>
          <val>
            <numRef>
              <f>'Pivot_Summary'!$N$5:$N$8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Mix by Category</a:t>
            </a:r>
          </a:p>
        </rich>
      </tx>
    </title>
    <plotArea>
      <pieChart>
        <varyColors val="1"/>
        <ser>
          <idx val="0"/>
          <order val="0"/>
          <tx>
            <strRef>
              <f>'Pivot_Summary'!B12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'Pivot_Summary'!$A$13:$A$15</f>
            </numRef>
          </cat>
          <val>
            <numRef>
              <f>'Pivot_Summary'!$B$13:$B$15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vs Budget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'Budget_vs_Actual'!B4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'Budget_vs_Actual'!$A$5:$A$16</f>
            </numRef>
          </cat>
          <val>
            <numRef>
              <f>'Budget_vs_Actual'!$B$5:$B$16</f>
            </numRef>
          </val>
        </ser>
        <ser>
          <idx val="1"/>
          <order val="1"/>
          <tx>
            <strRef>
              <f>'Budget_vs_Actual'!C4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'Budget_vs_Actual'!$A$5:$A$16</f>
            </numRef>
          </cat>
          <val>
            <numRef>
              <f>'Budget_vs_Actual'!$C$5:$C$16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Forecast Revenue &amp; Gross Profit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'Forecast'!C6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'Forecast'!$A$7:$A$18</f>
            </numRef>
          </cat>
          <val>
            <numRef>
              <f>'Forecast'!$C$7:$C$18</f>
            </numRef>
          </val>
        </ser>
        <ser>
          <idx val="1"/>
          <order val="1"/>
          <tx>
            <strRef>
              <f>'Forecast'!D6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'Forecast'!$A$7:$A$18</f>
            </numRef>
          </cat>
          <val>
            <numRef>
              <f>'Forecast'!$D$7:$D$18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Model</author>
  </authors>
  <commentList>
    <comment ref="C4" authorId="0" shapeId="0">
      <text>
        <t>Pick All or a region - KPIs recalculate instantly.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27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Products" displayName="tblProducts" ref="A4:E10" headerRowCount="1">
  <autoFilter ref="A4:E10"/>
  <tableColumns count="5">
    <tableColumn id="1" name="Product ID"/>
    <tableColumn id="2" name="Product Name"/>
    <tableColumn id="3" name="Category"/>
    <tableColumn id="4" name="Unit Price ($)"/>
    <tableColumn id="5" name="Gross Margin %"/>
  </tableColumns>
  <tableStyleInfo name="TableStyleLight9" showRowStripes="1"/>
</table>
</file>

<file path=xl/tables/table2.xml><?xml version="1.0" encoding="utf-8"?>
<table xmlns="http://schemas.openxmlformats.org/spreadsheetml/2006/main" id="2" name="tblSales" displayName="tblSales" ref="A4:M1204" headerRowCount="1">
  <autoFilter ref="A4:M1204"/>
  <tableColumns count="13">
    <tableColumn id="1" name="Invoice"/>
    <tableColumn id="2" name="Date"/>
    <tableColumn id="3" name="Region ID"/>
    <tableColumn id="4" name="Product ID"/>
    <tableColumn id="5" name="Qty"/>
    <tableColumn id="6" name="Discount %"/>
    <tableColumn id="7" name="Month"/>
    <tableColumn id="8" name="Region"/>
    <tableColumn id="9" name="Product"/>
    <tableColumn id="10" name="Category"/>
    <tableColumn id="11" name="Unit Price"/>
    <tableColumn id="12" name="Net Revenue"/>
    <tableColumn id="13" name="Gross Profit"/>
  </tableColumns>
  <tableStyleInfo name="TableStyleMedium2" showRowStripes="1"/>
</table>
</file>

<file path=xl/tables/table3.xml><?xml version="1.0" encoding="utf-8"?>
<table xmlns="http://schemas.openxmlformats.org/spreadsheetml/2006/main" id="3" name="tblGL" displayName="tblGL" ref="A4:F52" headerRowCount="1">
  <autoFilter ref="A4:F52"/>
  <tableColumns count="6">
    <tableColumn id="1" name="Journal ID"/>
    <tableColumn id="2" name="Posting Date"/>
    <tableColumn id="3" name="Region ID"/>
    <tableColumn id="4" name="Account"/>
    <tableColumn id="5" name="Amount ($)"/>
    <tableColumn id="6" name="Month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9" customWidth="1" min="10" max="10"/>
    <col width="14" customWidth="1" min="11" max="11"/>
    <col width="15" customWidth="1" min="12" max="12"/>
  </cols>
  <sheetData>
    <row r="1">
      <c r="A1" s="1" t="inlineStr">
        <is>
          <t>Executive Financial Dashboard</t>
        </is>
      </c>
    </row>
    <row r="2">
      <c r="A2" s="2" t="inlineStr">
        <is>
          <t>FY2025 | Consolidated from ERP Sales + General Ledger | Select a region in C4</t>
        </is>
      </c>
    </row>
    <row r="4">
      <c r="B4" s="3" t="inlineStr">
        <is>
          <t>Region filter:</t>
        </is>
      </c>
      <c r="C4" s="4" t="inlineStr">
        <is>
          <t>All</t>
        </is>
      </c>
    </row>
    <row r="6">
      <c r="J6" s="5" t="inlineStr">
        <is>
          <t>Monthly trend (selected region)</t>
        </is>
      </c>
    </row>
    <row r="7">
      <c r="B7" s="6" t="inlineStr">
        <is>
          <t>Net Revenue</t>
        </is>
      </c>
      <c r="C7" s="6" t="inlineStr">
        <is>
          <t>Gross Profit</t>
        </is>
      </c>
      <c r="D7" s="6" t="inlineStr">
        <is>
          <t>GP Margin</t>
        </is>
      </c>
      <c r="E7" s="6" t="inlineStr">
        <is>
          <t>Transactions</t>
        </is>
      </c>
      <c r="F7" s="6" t="inlineStr">
        <is>
          <t>Avg Deal Size</t>
        </is>
      </c>
      <c r="G7" s="6" t="inlineStr">
        <is>
          <t>Budget Var %</t>
        </is>
      </c>
      <c r="H7" s="6" t="inlineStr">
        <is>
          <t>Recon Exceptions</t>
        </is>
      </c>
      <c r="J7" s="7" t="inlineStr">
        <is>
          <t>Month</t>
        </is>
      </c>
      <c r="K7" s="7" t="inlineStr">
        <is>
          <t>Revenue ($)</t>
        </is>
      </c>
      <c r="L7" s="7" t="inlineStr">
        <is>
          <t>Gross Profit ($)</t>
        </is>
      </c>
    </row>
    <row r="8" ht="30" customHeight="1">
      <c r="B8" s="8">
        <f>SUMIFS(Data_Sales!$L$5:$L$1204,Data_Sales!$H$5:$H$1204,IF($C$4="All","*",$C$4))</f>
        <v/>
      </c>
      <c r="C8" s="8">
        <f>SUMIFS(Data_Sales!$M$5:$M$1204,Data_Sales!$H$5:$H$1204,IF($C$4="All","*",$C$4))</f>
        <v/>
      </c>
      <c r="D8" s="9">
        <f>IF(B8=0,0,C8/B8)</f>
        <v/>
      </c>
      <c r="E8" s="10">
        <f>COUNTIFS(Data_Sales!$H$5:$H$1204,IF($C$4="All","*",$C$4))</f>
        <v/>
      </c>
      <c r="F8" s="8">
        <f>IF(E8=0,0,B8/E8)</f>
        <v/>
      </c>
      <c r="G8" s="9">
        <f>Budget_vs_Actual!E17</f>
        <v/>
      </c>
      <c r="H8" s="11">
        <f>COUNTIF(Reconciliation!F5:F16,"Investigate")</f>
        <v/>
      </c>
      <c r="J8" t="inlineStr">
        <is>
          <t>Jan</t>
        </is>
      </c>
      <c r="K8" s="12">
        <f>SUMIFS(Data_Sales!$L$5:$L$1204,Data_Sales!$G$5:$G$1204,J8,Data_Sales!$H$5:$H$1204,IF($C$4="All","*",$C$4))</f>
        <v/>
      </c>
      <c r="L8" s="12">
        <f>SUMIFS(Data_Sales!$M$5:$M$1204,Data_Sales!$G$5:$G$1204,J8,Data_Sales!$H$5:$H$1204,IF($C$4="All","*",$C$4))</f>
        <v/>
      </c>
    </row>
    <row r="9">
      <c r="J9" t="inlineStr">
        <is>
          <t>Feb</t>
        </is>
      </c>
      <c r="K9" s="12">
        <f>SUMIFS(Data_Sales!$L$5:$L$1204,Data_Sales!$G$5:$G$1204,J9,Data_Sales!$H$5:$H$1204,IF($C$4="All","*",$C$4))</f>
        <v/>
      </c>
      <c r="L9" s="12">
        <f>SUMIFS(Data_Sales!$M$5:$M$1204,Data_Sales!$G$5:$G$1204,J9,Data_Sales!$H$5:$H$1204,IF($C$4="All","*",$C$4))</f>
        <v/>
      </c>
    </row>
    <row r="10">
      <c r="J10" t="inlineStr">
        <is>
          <t>Mar</t>
        </is>
      </c>
      <c r="K10" s="12">
        <f>SUMIFS(Data_Sales!$L$5:$L$1204,Data_Sales!$G$5:$G$1204,J10,Data_Sales!$H$5:$H$1204,IF($C$4="All","*",$C$4))</f>
        <v/>
      </c>
      <c r="L10" s="12">
        <f>SUMIFS(Data_Sales!$M$5:$M$1204,Data_Sales!$G$5:$G$1204,J10,Data_Sales!$H$5:$H$1204,IF($C$4="All","*",$C$4))</f>
        <v/>
      </c>
    </row>
    <row r="11">
      <c r="J11" t="inlineStr">
        <is>
          <t>Apr</t>
        </is>
      </c>
      <c r="K11" s="12">
        <f>SUMIFS(Data_Sales!$L$5:$L$1204,Data_Sales!$G$5:$G$1204,J11,Data_Sales!$H$5:$H$1204,IF($C$4="All","*",$C$4))</f>
        <v/>
      </c>
      <c r="L11" s="12">
        <f>SUMIFS(Data_Sales!$M$5:$M$1204,Data_Sales!$G$5:$G$1204,J11,Data_Sales!$H$5:$H$1204,IF($C$4="All","*",$C$4))</f>
        <v/>
      </c>
    </row>
    <row r="12">
      <c r="J12" t="inlineStr">
        <is>
          <t>May</t>
        </is>
      </c>
      <c r="K12" s="12">
        <f>SUMIFS(Data_Sales!$L$5:$L$1204,Data_Sales!$G$5:$G$1204,J12,Data_Sales!$H$5:$H$1204,IF($C$4="All","*",$C$4))</f>
        <v/>
      </c>
      <c r="L12" s="12">
        <f>SUMIFS(Data_Sales!$M$5:$M$1204,Data_Sales!$G$5:$G$1204,J12,Data_Sales!$H$5:$H$1204,IF($C$4="All","*",$C$4))</f>
        <v/>
      </c>
    </row>
    <row r="13">
      <c r="J13" t="inlineStr">
        <is>
          <t>Jun</t>
        </is>
      </c>
      <c r="K13" s="12">
        <f>SUMIFS(Data_Sales!$L$5:$L$1204,Data_Sales!$G$5:$G$1204,J13,Data_Sales!$H$5:$H$1204,IF($C$4="All","*",$C$4))</f>
        <v/>
      </c>
      <c r="L13" s="12">
        <f>SUMIFS(Data_Sales!$M$5:$M$1204,Data_Sales!$G$5:$G$1204,J13,Data_Sales!$H$5:$H$1204,IF($C$4="All","*",$C$4))</f>
        <v/>
      </c>
    </row>
    <row r="14">
      <c r="J14" t="inlineStr">
        <is>
          <t>Jul</t>
        </is>
      </c>
      <c r="K14" s="12">
        <f>SUMIFS(Data_Sales!$L$5:$L$1204,Data_Sales!$G$5:$G$1204,J14,Data_Sales!$H$5:$H$1204,IF($C$4="All","*",$C$4))</f>
        <v/>
      </c>
      <c r="L14" s="12">
        <f>SUMIFS(Data_Sales!$M$5:$M$1204,Data_Sales!$G$5:$G$1204,J14,Data_Sales!$H$5:$H$1204,IF($C$4="All","*",$C$4))</f>
        <v/>
      </c>
    </row>
    <row r="15">
      <c r="J15" t="inlineStr">
        <is>
          <t>Aug</t>
        </is>
      </c>
      <c r="K15" s="12">
        <f>SUMIFS(Data_Sales!$L$5:$L$1204,Data_Sales!$G$5:$G$1204,J15,Data_Sales!$H$5:$H$1204,IF($C$4="All","*",$C$4))</f>
        <v/>
      </c>
      <c r="L15" s="12">
        <f>SUMIFS(Data_Sales!$M$5:$M$1204,Data_Sales!$G$5:$G$1204,J15,Data_Sales!$H$5:$H$1204,IF($C$4="All","*",$C$4))</f>
        <v/>
      </c>
    </row>
    <row r="16">
      <c r="J16" t="inlineStr">
        <is>
          <t>Sep</t>
        </is>
      </c>
      <c r="K16" s="12">
        <f>SUMIFS(Data_Sales!$L$5:$L$1204,Data_Sales!$G$5:$G$1204,J16,Data_Sales!$H$5:$H$1204,IF($C$4="All","*",$C$4))</f>
        <v/>
      </c>
      <c r="L16" s="12">
        <f>SUMIFS(Data_Sales!$M$5:$M$1204,Data_Sales!$G$5:$G$1204,J16,Data_Sales!$H$5:$H$1204,IF($C$4="All","*",$C$4))</f>
        <v/>
      </c>
    </row>
    <row r="17">
      <c r="J17" t="inlineStr">
        <is>
          <t>Oct</t>
        </is>
      </c>
      <c r="K17" s="12">
        <f>SUMIFS(Data_Sales!$L$5:$L$1204,Data_Sales!$G$5:$G$1204,J17,Data_Sales!$H$5:$H$1204,IF($C$4="All","*",$C$4))</f>
        <v/>
      </c>
      <c r="L17" s="12">
        <f>SUMIFS(Data_Sales!$M$5:$M$1204,Data_Sales!$G$5:$G$1204,J17,Data_Sales!$H$5:$H$1204,IF($C$4="All","*",$C$4))</f>
        <v/>
      </c>
    </row>
    <row r="18">
      <c r="J18" t="inlineStr">
        <is>
          <t>Nov</t>
        </is>
      </c>
      <c r="K18" s="12">
        <f>SUMIFS(Data_Sales!$L$5:$L$1204,Data_Sales!$G$5:$G$1204,J18,Data_Sales!$H$5:$H$1204,IF($C$4="All","*",$C$4))</f>
        <v/>
      </c>
      <c r="L18" s="12">
        <f>SUMIFS(Data_Sales!$M$5:$M$1204,Data_Sales!$G$5:$G$1204,J18,Data_Sales!$H$5:$H$1204,IF($C$4="All","*",$C$4))</f>
        <v/>
      </c>
    </row>
    <row r="19">
      <c r="J19" t="inlineStr">
        <is>
          <t>Dec</t>
        </is>
      </c>
      <c r="K19" s="12">
        <f>SUMIFS(Data_Sales!$L$5:$L$1204,Data_Sales!$G$5:$G$1204,J19,Data_Sales!$H$5:$H$1204,IF($C$4="All","*",$C$4))</f>
        <v/>
      </c>
      <c r="L19" s="12">
        <f>SUMIFS(Data_Sales!$M$5:$M$1204,Data_Sales!$G$5:$G$1204,J19,Data_Sales!$H$5:$H$1204,IF($C$4="All","*",$C$4))</f>
        <v/>
      </c>
    </row>
  </sheetData>
  <conditionalFormatting sqref="G8">
    <cfRule type="cellIs" priority="1" operator="lessThan" dxfId="0">
      <formula>-Assumptions!$B$10</formula>
    </cfRule>
  </conditionalFormatting>
  <conditionalFormatting sqref="H8">
    <cfRule type="cellIs" priority="2" operator="greaterThan" dxfId="1">
      <formula>0</formula>
    </cfRule>
  </conditionalFormatting>
  <dataValidations count="1">
    <dataValidation sqref="C4" showDropDown="0" showInputMessage="0" showErrorMessage="1" allowBlank="0" type="list">
      <formula1>"All,North,South,East,West"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46" customWidth="1" min="3" max="3"/>
  </cols>
  <sheetData>
    <row r="1">
      <c r="A1" s="1" t="inlineStr">
        <is>
          <t>Forecast &amp; Control Assumptions</t>
        </is>
      </c>
    </row>
    <row r="2">
      <c r="A2" s="2" t="inlineStr">
        <is>
          <t>Blue cells are inputs - change them to run scenarios</t>
        </is>
      </c>
    </row>
    <row r="4">
      <c r="A4" s="7" t="inlineStr">
        <is>
          <t>Driver</t>
        </is>
      </c>
      <c r="B4" s="7" t="inlineStr">
        <is>
          <t>Value</t>
        </is>
      </c>
      <c r="C4" s="7" t="inlineStr">
        <is>
          <t>Notes</t>
        </is>
      </c>
    </row>
    <row r="5">
      <c r="A5" s="13" t="inlineStr">
        <is>
          <t>Monthly revenue growth</t>
        </is>
      </c>
      <c r="B5" s="14" t="n">
        <v>0.015</v>
      </c>
      <c r="C5" s="15" t="inlineStr">
        <is>
          <t>Applied month-over-month to forecast base</t>
        </is>
      </c>
    </row>
    <row r="6">
      <c r="A6" s="13" t="inlineStr">
        <is>
          <t>Seasonality uplift (Q4)</t>
        </is>
      </c>
      <c r="B6" s="14" t="n">
        <v>0.08</v>
      </c>
      <c r="C6" s="15" t="inlineStr">
        <is>
          <t>Extra uplift for Oct-Dec</t>
        </is>
      </c>
    </row>
    <row r="7">
      <c r="A7" s="13" t="inlineStr">
        <is>
          <t>Gross margin target</t>
        </is>
      </c>
      <c r="B7" s="14" t="n">
        <v>0.6</v>
      </c>
      <c r="C7" s="15" t="inlineStr">
        <is>
          <t>Target used for forecast gross profit</t>
        </is>
      </c>
    </row>
    <row r="8">
      <c r="A8" s="13" t="inlineStr">
        <is>
          <t>Budget growth vs prior-year run-rate</t>
        </is>
      </c>
      <c r="B8" s="14" t="n">
        <v>0.05</v>
      </c>
      <c r="C8" s="15" t="inlineStr">
        <is>
          <t>Budget = avg actual x (1+growth)</t>
        </is>
      </c>
    </row>
    <row r="9">
      <c r="A9" s="13" t="inlineStr">
        <is>
          <t>Reconciliation tolerance</t>
        </is>
      </c>
      <c r="B9" s="14" t="n">
        <v>0.01</v>
      </c>
      <c r="C9" s="15" t="inlineStr">
        <is>
          <t>Max allowed ERP vs GL difference</t>
        </is>
      </c>
    </row>
    <row r="10">
      <c r="A10" s="13" t="inlineStr">
        <is>
          <t>Variance alert threshold</t>
        </is>
      </c>
      <c r="B10" s="14" t="n">
        <v>0.05</v>
      </c>
      <c r="C10" s="15" t="inlineStr">
        <is>
          <t>Flags variances beyond +/- this %</t>
        </is>
      </c>
    </row>
  </sheetData>
  <dataValidations count="1">
    <dataValidation sqref="B5:B10" showDropDown="0" showInputMessage="0" showErrorMessage="1" allowBlank="0" errorTitle="Invalid input" error="Enter a % between -50% and 100%" type="decimal" operator="between">
      <formula1>-0.5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4" customWidth="1" min="4" max="4"/>
    <col width="14" customWidth="1" min="5" max="5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Master Data (Lookup Tables)</t>
        </is>
      </c>
    </row>
    <row r="2">
      <c r="A2" s="2" t="inlineStr">
        <is>
          <t>Product master for VLOOKUP; region master for HLOOKUP</t>
        </is>
      </c>
    </row>
    <row r="4">
      <c r="A4" s="7" t="inlineStr">
        <is>
          <t>Product ID</t>
        </is>
      </c>
      <c r="B4" s="7" t="inlineStr">
        <is>
          <t>Product Name</t>
        </is>
      </c>
      <c r="C4" s="7" t="inlineStr">
        <is>
          <t>Category</t>
        </is>
      </c>
      <c r="D4" s="7" t="inlineStr">
        <is>
          <t>Unit Price ($)</t>
        </is>
      </c>
      <c r="E4" s="7" t="inlineStr">
        <is>
          <t>Gross Margin %</t>
        </is>
      </c>
      <c r="G4" s="16" t="inlineStr">
        <is>
          <t>Region ID</t>
        </is>
      </c>
      <c r="H4" s="17" t="inlineStr">
        <is>
          <t>R01</t>
        </is>
      </c>
      <c r="I4" s="17" t="inlineStr">
        <is>
          <t>R02</t>
        </is>
      </c>
      <c r="J4" s="17" t="inlineStr">
        <is>
          <t>R03</t>
        </is>
      </c>
      <c r="K4" s="17" t="inlineStr">
        <is>
          <t>R04</t>
        </is>
      </c>
    </row>
    <row r="5">
      <c r="A5" s="17" t="inlineStr">
        <is>
          <t>P100</t>
        </is>
      </c>
      <c r="B5" s="17" t="inlineStr">
        <is>
          <t>Analytics Suite</t>
        </is>
      </c>
      <c r="C5" s="17" t="inlineStr">
        <is>
          <t>Software</t>
        </is>
      </c>
      <c r="D5" s="18" t="n">
        <v>1200</v>
      </c>
      <c r="E5" s="19" t="n">
        <v>0.78</v>
      </c>
      <c r="G5" s="16" t="inlineStr">
        <is>
          <t>Region Name</t>
        </is>
      </c>
      <c r="H5" s="17" t="inlineStr">
        <is>
          <t>North</t>
        </is>
      </c>
      <c r="I5" s="17" t="inlineStr">
        <is>
          <t>South</t>
        </is>
      </c>
      <c r="J5" s="17" t="inlineStr">
        <is>
          <t>East</t>
        </is>
      </c>
      <c r="K5" s="17" t="inlineStr">
        <is>
          <t>West</t>
        </is>
      </c>
    </row>
    <row r="6">
      <c r="A6" s="17" t="inlineStr">
        <is>
          <t>P200</t>
        </is>
      </c>
      <c r="B6" s="17" t="inlineStr">
        <is>
          <t>Cloud Storage</t>
        </is>
      </c>
      <c r="C6" s="17" t="inlineStr">
        <is>
          <t>Services</t>
        </is>
      </c>
      <c r="D6" s="18" t="n">
        <v>450</v>
      </c>
      <c r="E6" s="19" t="n">
        <v>0.62</v>
      </c>
      <c r="G6" s="16" t="inlineStr">
        <is>
          <t>Regional Manager</t>
        </is>
      </c>
      <c r="H6" s="17" t="inlineStr">
        <is>
          <t>A. Sharma</t>
        </is>
      </c>
      <c r="I6" s="17" t="inlineStr">
        <is>
          <t>B. Patel</t>
        </is>
      </c>
      <c r="J6" s="17" t="inlineStr">
        <is>
          <t>C. Singh</t>
        </is>
      </c>
      <c r="K6" s="17" t="inlineStr">
        <is>
          <t>D. Rao</t>
        </is>
      </c>
    </row>
    <row r="7">
      <c r="A7" s="17" t="inlineStr">
        <is>
          <t>P300</t>
        </is>
      </c>
      <c r="B7" s="17" t="inlineStr">
        <is>
          <t>Consulting Hours</t>
        </is>
      </c>
      <c r="C7" s="17" t="inlineStr">
        <is>
          <t>Services</t>
        </is>
      </c>
      <c r="D7" s="18" t="n">
        <v>180</v>
      </c>
      <c r="E7" s="19" t="n">
        <v>0.45</v>
      </c>
    </row>
    <row r="8">
      <c r="A8" s="17" t="inlineStr">
        <is>
          <t>P400</t>
        </is>
      </c>
      <c r="B8" s="17" t="inlineStr">
        <is>
          <t>Hardware Kit</t>
        </is>
      </c>
      <c r="C8" s="17" t="inlineStr">
        <is>
          <t>Hardware</t>
        </is>
      </c>
      <c r="D8" s="18" t="n">
        <v>950</v>
      </c>
      <c r="E8" s="19" t="n">
        <v>0.32</v>
      </c>
    </row>
    <row r="9">
      <c r="A9" s="17" t="inlineStr">
        <is>
          <t>P500</t>
        </is>
      </c>
      <c r="B9" s="17" t="inlineStr">
        <is>
          <t>Support Plan</t>
        </is>
      </c>
      <c r="C9" s="17" t="inlineStr">
        <is>
          <t>Services</t>
        </is>
      </c>
      <c r="D9" s="18" t="n">
        <v>300</v>
      </c>
      <c r="E9" s="19" t="n">
        <v>0.7</v>
      </c>
      <c r="G9" s="20" t="inlineStr">
        <is>
          <t>Source: Synthetic demo master data generated by build_workbook.py</t>
        </is>
      </c>
    </row>
    <row r="10">
      <c r="A10" s="17" t="inlineStr">
        <is>
          <t>P600</t>
        </is>
      </c>
      <c r="B10" s="17" t="inlineStr">
        <is>
          <t>Training Pack</t>
        </is>
      </c>
      <c r="C10" s="17" t="inlineStr">
        <is>
          <t>Software</t>
        </is>
      </c>
      <c r="D10" s="18" t="n">
        <v>250</v>
      </c>
      <c r="E10" s="19" t="n">
        <v>0.66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M1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7" customWidth="1" min="5" max="5"/>
    <col width="10" customWidth="1" min="6" max="6"/>
    <col width="8" customWidth="1" min="7" max="7"/>
    <col width="10" customWidth="1" min="8" max="8"/>
    <col width="18" customWidth="1" min="9" max="9"/>
    <col width="11" customWidth="1" min="10" max="10"/>
    <col width="11" customWidth="1" min="11" max="11"/>
    <col width="13" customWidth="1" min="12" max="12"/>
    <col width="13" customWidth="1" min="13" max="13"/>
  </cols>
  <sheetData>
    <row r="1">
      <c r="A1" s="1" t="inlineStr">
        <is>
          <t>Source 1: ERP Sales Transactions</t>
        </is>
      </c>
    </row>
    <row r="2">
      <c r="A2" s="2" t="inlineStr">
        <is>
          <t>Blue = raw imported data; black = calculated enrichment columns</t>
        </is>
      </c>
    </row>
    <row r="4">
      <c r="A4" s="7" t="inlineStr">
        <is>
          <t>Invoice</t>
        </is>
      </c>
      <c r="B4" s="7" t="inlineStr">
        <is>
          <t>Date</t>
        </is>
      </c>
      <c r="C4" s="7" t="inlineStr">
        <is>
          <t>Region ID</t>
        </is>
      </c>
      <c r="D4" s="7" t="inlineStr">
        <is>
          <t>Product ID</t>
        </is>
      </c>
      <c r="E4" s="7" t="inlineStr">
        <is>
          <t>Qty</t>
        </is>
      </c>
      <c r="F4" s="7" t="inlineStr">
        <is>
          <t>Discount %</t>
        </is>
      </c>
      <c r="G4" s="7" t="inlineStr">
        <is>
          <t>Month</t>
        </is>
      </c>
      <c r="H4" s="7" t="inlineStr">
        <is>
          <t>Region</t>
        </is>
      </c>
      <c r="I4" s="7" t="inlineStr">
        <is>
          <t>Product</t>
        </is>
      </c>
      <c r="J4" s="7" t="inlineStr">
        <is>
          <t>Category</t>
        </is>
      </c>
      <c r="K4" s="7" t="inlineStr">
        <is>
          <t>Unit Price</t>
        </is>
      </c>
      <c r="L4" s="7" t="inlineStr">
        <is>
          <t>Net Revenue</t>
        </is>
      </c>
      <c r="M4" s="7" t="inlineStr">
        <is>
          <t>Gross Profit</t>
        </is>
      </c>
    </row>
    <row r="5">
      <c r="A5" s="21" t="inlineStr">
        <is>
          <t>INV-10729</t>
        </is>
      </c>
      <c r="B5" s="22" t="n">
        <v>45658</v>
      </c>
      <c r="C5" s="21" t="inlineStr">
        <is>
          <t>R02</t>
        </is>
      </c>
      <c r="D5" s="21" t="inlineStr">
        <is>
          <t>P300</t>
        </is>
      </c>
      <c r="E5" s="21" t="n">
        <v>5</v>
      </c>
      <c r="F5" s="23" t="n">
        <v>0.05</v>
      </c>
      <c r="G5" s="24">
        <f>TEXT(B5,"mmm")</f>
        <v/>
      </c>
      <c r="H5" s="24">
        <f>HLOOKUP(C5,Lookups!$H$4:$K$5,2,FALSE)</f>
        <v/>
      </c>
      <c r="I5" s="24">
        <f>VLOOKUP(D5,Lookups!$A$5:$E$10,2,FALSE)</f>
        <v/>
      </c>
      <c r="J5" s="24">
        <f>VLOOKUP(D5,Lookups!$A$5:$E$10,3,FALSE)</f>
        <v/>
      </c>
      <c r="K5" s="25">
        <f>VLOOKUP(D5,Lookups!$A$5:$E$10,4,FALSE)</f>
        <v/>
      </c>
      <c r="L5" s="25">
        <f>E5*K5*(1-F5)</f>
        <v/>
      </c>
      <c r="M5" s="25">
        <f>L5*VLOOKUP(D5,Lookups!$A$5:$E$10,5,FALSE)</f>
        <v/>
      </c>
    </row>
    <row r="6">
      <c r="A6" s="21" t="inlineStr">
        <is>
          <t>INV-10745</t>
        </is>
      </c>
      <c r="B6" s="22" t="n">
        <v>45658</v>
      </c>
      <c r="C6" s="21" t="inlineStr">
        <is>
          <t>R04</t>
        </is>
      </c>
      <c r="D6" s="21" t="inlineStr">
        <is>
          <t>P100</t>
        </is>
      </c>
      <c r="E6" s="21" t="n">
        <v>15</v>
      </c>
      <c r="F6" s="23" t="n">
        <v>0.1</v>
      </c>
      <c r="G6" s="24">
        <f>TEXT(B6,"mmm")</f>
        <v/>
      </c>
      <c r="H6" s="24">
        <f>HLOOKUP(C6,Lookups!$H$4:$K$5,2,FALSE)</f>
        <v/>
      </c>
      <c r="I6" s="24">
        <f>VLOOKUP(D6,Lookups!$A$5:$E$10,2,FALSE)</f>
        <v/>
      </c>
      <c r="J6" s="24">
        <f>VLOOKUP(D6,Lookups!$A$5:$E$10,3,FALSE)</f>
        <v/>
      </c>
      <c r="K6" s="25">
        <f>VLOOKUP(D6,Lookups!$A$5:$E$10,4,FALSE)</f>
        <v/>
      </c>
      <c r="L6" s="25">
        <f>E6*K6*(1-F6)</f>
        <v/>
      </c>
      <c r="M6" s="25">
        <f>L6*VLOOKUP(D6,Lookups!$A$5:$E$10,5,FALSE)</f>
        <v/>
      </c>
    </row>
    <row r="7">
      <c r="A7" s="21" t="inlineStr">
        <is>
          <t>INV-10030</t>
        </is>
      </c>
      <c r="B7" s="22" t="n">
        <v>45659</v>
      </c>
      <c r="C7" s="21" t="inlineStr">
        <is>
          <t>R03</t>
        </is>
      </c>
      <c r="D7" s="21" t="inlineStr">
        <is>
          <t>P600</t>
        </is>
      </c>
      <c r="E7" s="21" t="n">
        <v>17</v>
      </c>
      <c r="F7" s="23" t="n">
        <v>0</v>
      </c>
      <c r="G7" s="24">
        <f>TEXT(B7,"mmm")</f>
        <v/>
      </c>
      <c r="H7" s="24">
        <f>HLOOKUP(C7,Lookups!$H$4:$K$5,2,FALSE)</f>
        <v/>
      </c>
      <c r="I7" s="24">
        <f>VLOOKUP(D7,Lookups!$A$5:$E$10,2,FALSE)</f>
        <v/>
      </c>
      <c r="J7" s="24">
        <f>VLOOKUP(D7,Lookups!$A$5:$E$10,3,FALSE)</f>
        <v/>
      </c>
      <c r="K7" s="25">
        <f>VLOOKUP(D7,Lookups!$A$5:$E$10,4,FALSE)</f>
        <v/>
      </c>
      <c r="L7" s="25">
        <f>E7*K7*(1-F7)</f>
        <v/>
      </c>
      <c r="M7" s="25">
        <f>L7*VLOOKUP(D7,Lookups!$A$5:$E$10,5,FALSE)</f>
        <v/>
      </c>
    </row>
    <row r="8">
      <c r="A8" s="21" t="inlineStr">
        <is>
          <t>INV-10481</t>
        </is>
      </c>
      <c r="B8" s="22" t="n">
        <v>45659</v>
      </c>
      <c r="C8" s="21" t="inlineStr">
        <is>
          <t>R02</t>
        </is>
      </c>
      <c r="D8" s="21" t="inlineStr">
        <is>
          <t>P600</t>
        </is>
      </c>
      <c r="E8" s="21" t="n">
        <v>19</v>
      </c>
      <c r="F8" s="23" t="n">
        <v>0</v>
      </c>
      <c r="G8" s="24">
        <f>TEXT(B8,"mmm")</f>
        <v/>
      </c>
      <c r="H8" s="24">
        <f>HLOOKUP(C8,Lookups!$H$4:$K$5,2,FALSE)</f>
        <v/>
      </c>
      <c r="I8" s="24">
        <f>VLOOKUP(D8,Lookups!$A$5:$E$10,2,FALSE)</f>
        <v/>
      </c>
      <c r="J8" s="24">
        <f>VLOOKUP(D8,Lookups!$A$5:$E$10,3,FALSE)</f>
        <v/>
      </c>
      <c r="K8" s="25">
        <f>VLOOKUP(D8,Lookups!$A$5:$E$10,4,FALSE)</f>
        <v/>
      </c>
      <c r="L8" s="25">
        <f>E8*K8*(1-F8)</f>
        <v/>
      </c>
      <c r="M8" s="25">
        <f>L8*VLOOKUP(D8,Lookups!$A$5:$E$10,5,FALSE)</f>
        <v/>
      </c>
    </row>
    <row r="9">
      <c r="A9" s="21" t="inlineStr">
        <is>
          <t>INV-10850</t>
        </is>
      </c>
      <c r="B9" s="22" t="n">
        <v>45659</v>
      </c>
      <c r="C9" s="21" t="inlineStr">
        <is>
          <t>R01</t>
        </is>
      </c>
      <c r="D9" s="21" t="inlineStr">
        <is>
          <t>P100</t>
        </is>
      </c>
      <c r="E9" s="21" t="n">
        <v>4</v>
      </c>
      <c r="F9" s="23" t="n">
        <v>0.1</v>
      </c>
      <c r="G9" s="24">
        <f>TEXT(B9,"mmm")</f>
        <v/>
      </c>
      <c r="H9" s="24">
        <f>HLOOKUP(C9,Lookups!$H$4:$K$5,2,FALSE)</f>
        <v/>
      </c>
      <c r="I9" s="24">
        <f>VLOOKUP(D9,Lookups!$A$5:$E$10,2,FALSE)</f>
        <v/>
      </c>
      <c r="J9" s="24">
        <f>VLOOKUP(D9,Lookups!$A$5:$E$10,3,FALSE)</f>
        <v/>
      </c>
      <c r="K9" s="25">
        <f>VLOOKUP(D9,Lookups!$A$5:$E$10,4,FALSE)</f>
        <v/>
      </c>
      <c r="L9" s="25">
        <f>E9*K9*(1-F9)</f>
        <v/>
      </c>
      <c r="M9" s="25">
        <f>L9*VLOOKUP(D9,Lookups!$A$5:$E$10,5,FALSE)</f>
        <v/>
      </c>
    </row>
    <row r="10">
      <c r="A10" s="21" t="inlineStr">
        <is>
          <t>INV-10881</t>
        </is>
      </c>
      <c r="B10" s="22" t="n">
        <v>45659</v>
      </c>
      <c r="C10" s="21" t="inlineStr">
        <is>
          <t>R03</t>
        </is>
      </c>
      <c r="D10" s="21" t="inlineStr">
        <is>
          <t>P300</t>
        </is>
      </c>
      <c r="E10" s="21" t="n">
        <v>21</v>
      </c>
      <c r="F10" s="23" t="n">
        <v>0.05</v>
      </c>
      <c r="G10" s="24">
        <f>TEXT(B10,"mmm")</f>
        <v/>
      </c>
      <c r="H10" s="24">
        <f>HLOOKUP(C10,Lookups!$H$4:$K$5,2,FALSE)</f>
        <v/>
      </c>
      <c r="I10" s="24">
        <f>VLOOKUP(D10,Lookups!$A$5:$E$10,2,FALSE)</f>
        <v/>
      </c>
      <c r="J10" s="24">
        <f>VLOOKUP(D10,Lookups!$A$5:$E$10,3,FALSE)</f>
        <v/>
      </c>
      <c r="K10" s="25">
        <f>VLOOKUP(D10,Lookups!$A$5:$E$10,4,FALSE)</f>
        <v/>
      </c>
      <c r="L10" s="25">
        <f>E10*K10*(1-F10)</f>
        <v/>
      </c>
      <c r="M10" s="25">
        <f>L10*VLOOKUP(D10,Lookups!$A$5:$E$10,5,FALSE)</f>
        <v/>
      </c>
    </row>
    <row r="11">
      <c r="A11" s="21" t="inlineStr">
        <is>
          <t>INV-10825</t>
        </is>
      </c>
      <c r="B11" s="22" t="n">
        <v>45660</v>
      </c>
      <c r="C11" s="21" t="inlineStr">
        <is>
          <t>R03</t>
        </is>
      </c>
      <c r="D11" s="21" t="inlineStr">
        <is>
          <t>P400</t>
        </is>
      </c>
      <c r="E11" s="21" t="n">
        <v>7</v>
      </c>
      <c r="F11" s="23" t="n">
        <v>0</v>
      </c>
      <c r="G11" s="24">
        <f>TEXT(B11,"mmm")</f>
        <v/>
      </c>
      <c r="H11" s="24">
        <f>HLOOKUP(C11,Lookups!$H$4:$K$5,2,FALSE)</f>
        <v/>
      </c>
      <c r="I11" s="24">
        <f>VLOOKUP(D11,Lookups!$A$5:$E$10,2,FALSE)</f>
        <v/>
      </c>
      <c r="J11" s="24">
        <f>VLOOKUP(D11,Lookups!$A$5:$E$10,3,FALSE)</f>
        <v/>
      </c>
      <c r="K11" s="25">
        <f>VLOOKUP(D11,Lookups!$A$5:$E$10,4,FALSE)</f>
        <v/>
      </c>
      <c r="L11" s="25">
        <f>E11*K11*(1-F11)</f>
        <v/>
      </c>
      <c r="M11" s="25">
        <f>L11*VLOOKUP(D11,Lookups!$A$5:$E$10,5,FALSE)</f>
        <v/>
      </c>
    </row>
    <row r="12">
      <c r="A12" s="21" t="inlineStr">
        <is>
          <t>INV-10941</t>
        </is>
      </c>
      <c r="B12" s="22" t="n">
        <v>45660</v>
      </c>
      <c r="C12" s="21" t="inlineStr">
        <is>
          <t>R04</t>
        </is>
      </c>
      <c r="D12" s="21" t="inlineStr">
        <is>
          <t>P500</t>
        </is>
      </c>
      <c r="E12" s="21" t="n">
        <v>18</v>
      </c>
      <c r="F12" s="23" t="n">
        <v>0</v>
      </c>
      <c r="G12" s="24">
        <f>TEXT(B12,"mmm")</f>
        <v/>
      </c>
      <c r="H12" s="24">
        <f>HLOOKUP(C12,Lookups!$H$4:$K$5,2,FALSE)</f>
        <v/>
      </c>
      <c r="I12" s="24">
        <f>VLOOKUP(D12,Lookups!$A$5:$E$10,2,FALSE)</f>
        <v/>
      </c>
      <c r="J12" s="24">
        <f>VLOOKUP(D12,Lookups!$A$5:$E$10,3,FALSE)</f>
        <v/>
      </c>
      <c r="K12" s="25">
        <f>VLOOKUP(D12,Lookups!$A$5:$E$10,4,FALSE)</f>
        <v/>
      </c>
      <c r="L12" s="25">
        <f>E12*K12*(1-F12)</f>
        <v/>
      </c>
      <c r="M12" s="25">
        <f>L12*VLOOKUP(D12,Lookups!$A$5:$E$10,5,FALSE)</f>
        <v/>
      </c>
    </row>
    <row r="13">
      <c r="A13" s="21" t="inlineStr">
        <is>
          <t>INV-10997</t>
        </is>
      </c>
      <c r="B13" s="22" t="n">
        <v>45660</v>
      </c>
      <c r="C13" s="21" t="inlineStr">
        <is>
          <t>R01</t>
        </is>
      </c>
      <c r="D13" s="21" t="inlineStr">
        <is>
          <t>P600</t>
        </is>
      </c>
      <c r="E13" s="21" t="n">
        <v>19</v>
      </c>
      <c r="F13" s="23" t="n">
        <v>0</v>
      </c>
      <c r="G13" s="24">
        <f>TEXT(B13,"mmm")</f>
        <v/>
      </c>
      <c r="H13" s="24">
        <f>HLOOKUP(C13,Lookups!$H$4:$K$5,2,FALSE)</f>
        <v/>
      </c>
      <c r="I13" s="24">
        <f>VLOOKUP(D13,Lookups!$A$5:$E$10,2,FALSE)</f>
        <v/>
      </c>
      <c r="J13" s="24">
        <f>VLOOKUP(D13,Lookups!$A$5:$E$10,3,FALSE)</f>
        <v/>
      </c>
      <c r="K13" s="25">
        <f>VLOOKUP(D13,Lookups!$A$5:$E$10,4,FALSE)</f>
        <v/>
      </c>
      <c r="L13" s="25">
        <f>E13*K13*(1-F13)</f>
        <v/>
      </c>
      <c r="M13" s="25">
        <f>L13*VLOOKUP(D13,Lookups!$A$5:$E$10,5,FALSE)</f>
        <v/>
      </c>
    </row>
    <row r="14">
      <c r="A14" s="21" t="inlineStr">
        <is>
          <t>INV-10042</t>
        </is>
      </c>
      <c r="B14" s="22" t="n">
        <v>45661</v>
      </c>
      <c r="C14" s="21" t="inlineStr">
        <is>
          <t>R01</t>
        </is>
      </c>
      <c r="D14" s="21" t="inlineStr">
        <is>
          <t>P100</t>
        </is>
      </c>
      <c r="E14" s="21" t="n">
        <v>8</v>
      </c>
      <c r="F14" s="23" t="n">
        <v>0</v>
      </c>
      <c r="G14" s="24">
        <f>TEXT(B14,"mmm")</f>
        <v/>
      </c>
      <c r="H14" s="24">
        <f>HLOOKUP(C14,Lookups!$H$4:$K$5,2,FALSE)</f>
        <v/>
      </c>
      <c r="I14" s="24">
        <f>VLOOKUP(D14,Lookups!$A$5:$E$10,2,FALSE)</f>
        <v/>
      </c>
      <c r="J14" s="24">
        <f>VLOOKUP(D14,Lookups!$A$5:$E$10,3,FALSE)</f>
        <v/>
      </c>
      <c r="K14" s="25">
        <f>VLOOKUP(D14,Lookups!$A$5:$E$10,4,FALSE)</f>
        <v/>
      </c>
      <c r="L14" s="25">
        <f>E14*K14*(1-F14)</f>
        <v/>
      </c>
      <c r="M14" s="25">
        <f>L14*VLOOKUP(D14,Lookups!$A$5:$E$10,5,FALSE)</f>
        <v/>
      </c>
    </row>
    <row r="15">
      <c r="A15" s="21" t="inlineStr">
        <is>
          <t>INV-10282</t>
        </is>
      </c>
      <c r="B15" s="22" t="n">
        <v>45661</v>
      </c>
      <c r="C15" s="21" t="inlineStr">
        <is>
          <t>R02</t>
        </is>
      </c>
      <c r="D15" s="21" t="inlineStr">
        <is>
          <t>P200</t>
        </is>
      </c>
      <c r="E15" s="21" t="n">
        <v>19</v>
      </c>
      <c r="F15" s="23" t="n">
        <v>0.1</v>
      </c>
      <c r="G15" s="24">
        <f>TEXT(B15,"mmm")</f>
        <v/>
      </c>
      <c r="H15" s="24">
        <f>HLOOKUP(C15,Lookups!$H$4:$K$5,2,FALSE)</f>
        <v/>
      </c>
      <c r="I15" s="24">
        <f>VLOOKUP(D15,Lookups!$A$5:$E$10,2,FALSE)</f>
        <v/>
      </c>
      <c r="J15" s="24">
        <f>VLOOKUP(D15,Lookups!$A$5:$E$10,3,FALSE)</f>
        <v/>
      </c>
      <c r="K15" s="25">
        <f>VLOOKUP(D15,Lookups!$A$5:$E$10,4,FALSE)</f>
        <v/>
      </c>
      <c r="L15" s="25">
        <f>E15*K15*(1-F15)</f>
        <v/>
      </c>
      <c r="M15" s="25">
        <f>L15*VLOOKUP(D15,Lookups!$A$5:$E$10,5,FALSE)</f>
        <v/>
      </c>
    </row>
    <row r="16">
      <c r="A16" s="21" t="inlineStr">
        <is>
          <t>INV-10292</t>
        </is>
      </c>
      <c r="B16" s="22" t="n">
        <v>45661</v>
      </c>
      <c r="C16" s="21" t="inlineStr">
        <is>
          <t>R03</t>
        </is>
      </c>
      <c r="D16" s="21" t="inlineStr">
        <is>
          <t>P200</t>
        </is>
      </c>
      <c r="E16" s="21" t="n">
        <v>7</v>
      </c>
      <c r="F16" s="23" t="n">
        <v>0</v>
      </c>
      <c r="G16" s="24">
        <f>TEXT(B16,"mmm")</f>
        <v/>
      </c>
      <c r="H16" s="24">
        <f>HLOOKUP(C16,Lookups!$H$4:$K$5,2,FALSE)</f>
        <v/>
      </c>
      <c r="I16" s="24">
        <f>VLOOKUP(D16,Lookups!$A$5:$E$10,2,FALSE)</f>
        <v/>
      </c>
      <c r="J16" s="24">
        <f>VLOOKUP(D16,Lookups!$A$5:$E$10,3,FALSE)</f>
        <v/>
      </c>
      <c r="K16" s="25">
        <f>VLOOKUP(D16,Lookups!$A$5:$E$10,4,FALSE)</f>
        <v/>
      </c>
      <c r="L16" s="25">
        <f>E16*K16*(1-F16)</f>
        <v/>
      </c>
      <c r="M16" s="25">
        <f>L16*VLOOKUP(D16,Lookups!$A$5:$E$10,5,FALSE)</f>
        <v/>
      </c>
    </row>
    <row r="17">
      <c r="A17" s="21" t="inlineStr">
        <is>
          <t>INV-10805</t>
        </is>
      </c>
      <c r="B17" s="22" t="n">
        <v>45661</v>
      </c>
      <c r="C17" s="21" t="inlineStr">
        <is>
          <t>R03</t>
        </is>
      </c>
      <c r="D17" s="21" t="inlineStr">
        <is>
          <t>P500</t>
        </is>
      </c>
      <c r="E17" s="21" t="n">
        <v>18</v>
      </c>
      <c r="F17" s="23" t="n">
        <v>0.05</v>
      </c>
      <c r="G17" s="24">
        <f>TEXT(B17,"mmm")</f>
        <v/>
      </c>
      <c r="H17" s="24">
        <f>HLOOKUP(C17,Lookups!$H$4:$K$5,2,FALSE)</f>
        <v/>
      </c>
      <c r="I17" s="24">
        <f>VLOOKUP(D17,Lookups!$A$5:$E$10,2,FALSE)</f>
        <v/>
      </c>
      <c r="J17" s="24">
        <f>VLOOKUP(D17,Lookups!$A$5:$E$10,3,FALSE)</f>
        <v/>
      </c>
      <c r="K17" s="25">
        <f>VLOOKUP(D17,Lookups!$A$5:$E$10,4,FALSE)</f>
        <v/>
      </c>
      <c r="L17" s="25">
        <f>E17*K17*(1-F17)</f>
        <v/>
      </c>
      <c r="M17" s="25">
        <f>L17*VLOOKUP(D17,Lookups!$A$5:$E$10,5,FALSE)</f>
        <v/>
      </c>
    </row>
    <row r="18">
      <c r="A18" s="21" t="inlineStr">
        <is>
          <t>INV-10525</t>
        </is>
      </c>
      <c r="B18" s="22" t="n">
        <v>45662</v>
      </c>
      <c r="C18" s="21" t="inlineStr">
        <is>
          <t>R04</t>
        </is>
      </c>
      <c r="D18" s="21" t="inlineStr">
        <is>
          <t>P200</t>
        </is>
      </c>
      <c r="E18" s="21" t="n">
        <v>12</v>
      </c>
      <c r="F18" s="23" t="n">
        <v>0</v>
      </c>
      <c r="G18" s="24">
        <f>TEXT(B18,"mmm")</f>
        <v/>
      </c>
      <c r="H18" s="24">
        <f>HLOOKUP(C18,Lookups!$H$4:$K$5,2,FALSE)</f>
        <v/>
      </c>
      <c r="I18" s="24">
        <f>VLOOKUP(D18,Lookups!$A$5:$E$10,2,FALSE)</f>
        <v/>
      </c>
      <c r="J18" s="24">
        <f>VLOOKUP(D18,Lookups!$A$5:$E$10,3,FALSE)</f>
        <v/>
      </c>
      <c r="K18" s="25">
        <f>VLOOKUP(D18,Lookups!$A$5:$E$10,4,FALSE)</f>
        <v/>
      </c>
      <c r="L18" s="25">
        <f>E18*K18*(1-F18)</f>
        <v/>
      </c>
      <c r="M18" s="25">
        <f>L18*VLOOKUP(D18,Lookups!$A$5:$E$10,5,FALSE)</f>
        <v/>
      </c>
    </row>
    <row r="19">
      <c r="A19" s="21" t="inlineStr">
        <is>
          <t>INV-10642</t>
        </is>
      </c>
      <c r="B19" s="22" t="n">
        <v>45662</v>
      </c>
      <c r="C19" s="21" t="inlineStr">
        <is>
          <t>R03</t>
        </is>
      </c>
      <c r="D19" s="21" t="inlineStr">
        <is>
          <t>P100</t>
        </is>
      </c>
      <c r="E19" s="21" t="n">
        <v>4</v>
      </c>
      <c r="F19" s="23" t="n">
        <v>0.1</v>
      </c>
      <c r="G19" s="24">
        <f>TEXT(B19,"mmm")</f>
        <v/>
      </c>
      <c r="H19" s="24">
        <f>HLOOKUP(C19,Lookups!$H$4:$K$5,2,FALSE)</f>
        <v/>
      </c>
      <c r="I19" s="24">
        <f>VLOOKUP(D19,Lookups!$A$5:$E$10,2,FALSE)</f>
        <v/>
      </c>
      <c r="J19" s="24">
        <f>VLOOKUP(D19,Lookups!$A$5:$E$10,3,FALSE)</f>
        <v/>
      </c>
      <c r="K19" s="25">
        <f>VLOOKUP(D19,Lookups!$A$5:$E$10,4,FALSE)</f>
        <v/>
      </c>
      <c r="L19" s="25">
        <f>E19*K19*(1-F19)</f>
        <v/>
      </c>
      <c r="M19" s="25">
        <f>L19*VLOOKUP(D19,Lookups!$A$5:$E$10,5,FALSE)</f>
        <v/>
      </c>
    </row>
    <row r="20">
      <c r="A20" s="21" t="inlineStr">
        <is>
          <t>INV-10856</t>
        </is>
      </c>
      <c r="B20" s="22" t="n">
        <v>45662</v>
      </c>
      <c r="C20" s="21" t="inlineStr">
        <is>
          <t>R02</t>
        </is>
      </c>
      <c r="D20" s="21" t="inlineStr">
        <is>
          <t>P200</t>
        </is>
      </c>
      <c r="E20" s="21" t="n">
        <v>11</v>
      </c>
      <c r="F20" s="23" t="n">
        <v>0.05</v>
      </c>
      <c r="G20" s="24">
        <f>TEXT(B20,"mmm")</f>
        <v/>
      </c>
      <c r="H20" s="24">
        <f>HLOOKUP(C20,Lookups!$H$4:$K$5,2,FALSE)</f>
        <v/>
      </c>
      <c r="I20" s="24">
        <f>VLOOKUP(D20,Lookups!$A$5:$E$10,2,FALSE)</f>
        <v/>
      </c>
      <c r="J20" s="24">
        <f>VLOOKUP(D20,Lookups!$A$5:$E$10,3,FALSE)</f>
        <v/>
      </c>
      <c r="K20" s="25">
        <f>VLOOKUP(D20,Lookups!$A$5:$E$10,4,FALSE)</f>
        <v/>
      </c>
      <c r="L20" s="25">
        <f>E20*K20*(1-F20)</f>
        <v/>
      </c>
      <c r="M20" s="25">
        <f>L20*VLOOKUP(D20,Lookups!$A$5:$E$10,5,FALSE)</f>
        <v/>
      </c>
    </row>
    <row r="21">
      <c r="A21" s="21" t="inlineStr">
        <is>
          <t>INV-10869</t>
        </is>
      </c>
      <c r="B21" s="22" t="n">
        <v>45663</v>
      </c>
      <c r="C21" s="21" t="inlineStr">
        <is>
          <t>R02</t>
        </is>
      </c>
      <c r="D21" s="21" t="inlineStr">
        <is>
          <t>P600</t>
        </is>
      </c>
      <c r="E21" s="21" t="n">
        <v>17</v>
      </c>
      <c r="F21" s="23" t="n">
        <v>0.1</v>
      </c>
      <c r="G21" s="24">
        <f>TEXT(B21,"mmm")</f>
        <v/>
      </c>
      <c r="H21" s="24">
        <f>HLOOKUP(C21,Lookups!$H$4:$K$5,2,FALSE)</f>
        <v/>
      </c>
      <c r="I21" s="24">
        <f>VLOOKUP(D21,Lookups!$A$5:$E$10,2,FALSE)</f>
        <v/>
      </c>
      <c r="J21" s="24">
        <f>VLOOKUP(D21,Lookups!$A$5:$E$10,3,FALSE)</f>
        <v/>
      </c>
      <c r="K21" s="25">
        <f>VLOOKUP(D21,Lookups!$A$5:$E$10,4,FALSE)</f>
        <v/>
      </c>
      <c r="L21" s="25">
        <f>E21*K21*(1-F21)</f>
        <v/>
      </c>
      <c r="M21" s="25">
        <f>L21*VLOOKUP(D21,Lookups!$A$5:$E$10,5,FALSE)</f>
        <v/>
      </c>
    </row>
    <row r="22">
      <c r="A22" s="21" t="inlineStr">
        <is>
          <t>INV-10940</t>
        </is>
      </c>
      <c r="B22" s="22" t="n">
        <v>45663</v>
      </c>
      <c r="C22" s="21" t="inlineStr">
        <is>
          <t>R02</t>
        </is>
      </c>
      <c r="D22" s="21" t="inlineStr">
        <is>
          <t>P500</t>
        </is>
      </c>
      <c r="E22" s="21" t="n">
        <v>4</v>
      </c>
      <c r="F22" s="23" t="n">
        <v>0</v>
      </c>
      <c r="G22" s="24">
        <f>TEXT(B22,"mmm")</f>
        <v/>
      </c>
      <c r="H22" s="24">
        <f>HLOOKUP(C22,Lookups!$H$4:$K$5,2,FALSE)</f>
        <v/>
      </c>
      <c r="I22" s="24">
        <f>VLOOKUP(D22,Lookups!$A$5:$E$10,2,FALSE)</f>
        <v/>
      </c>
      <c r="J22" s="24">
        <f>VLOOKUP(D22,Lookups!$A$5:$E$10,3,FALSE)</f>
        <v/>
      </c>
      <c r="K22" s="25">
        <f>VLOOKUP(D22,Lookups!$A$5:$E$10,4,FALSE)</f>
        <v/>
      </c>
      <c r="L22" s="25">
        <f>E22*K22*(1-F22)</f>
        <v/>
      </c>
      <c r="M22" s="25">
        <f>L22*VLOOKUP(D22,Lookups!$A$5:$E$10,5,FALSE)</f>
        <v/>
      </c>
    </row>
    <row r="23">
      <c r="A23" s="21" t="inlineStr">
        <is>
          <t>INV-11079</t>
        </is>
      </c>
      <c r="B23" s="22" t="n">
        <v>45663</v>
      </c>
      <c r="C23" s="21" t="inlineStr">
        <is>
          <t>R02</t>
        </is>
      </c>
      <c r="D23" s="21" t="inlineStr">
        <is>
          <t>P100</t>
        </is>
      </c>
      <c r="E23" s="21" t="n">
        <v>12</v>
      </c>
      <c r="F23" s="23" t="n">
        <v>0.05</v>
      </c>
      <c r="G23" s="24">
        <f>TEXT(B23,"mmm")</f>
        <v/>
      </c>
      <c r="H23" s="24">
        <f>HLOOKUP(C23,Lookups!$H$4:$K$5,2,FALSE)</f>
        <v/>
      </c>
      <c r="I23" s="24">
        <f>VLOOKUP(D23,Lookups!$A$5:$E$10,2,FALSE)</f>
        <v/>
      </c>
      <c r="J23" s="24">
        <f>VLOOKUP(D23,Lookups!$A$5:$E$10,3,FALSE)</f>
        <v/>
      </c>
      <c r="K23" s="25">
        <f>VLOOKUP(D23,Lookups!$A$5:$E$10,4,FALSE)</f>
        <v/>
      </c>
      <c r="L23" s="25">
        <f>E23*K23*(1-F23)</f>
        <v/>
      </c>
      <c r="M23" s="25">
        <f>L23*VLOOKUP(D23,Lookups!$A$5:$E$10,5,FALSE)</f>
        <v/>
      </c>
    </row>
    <row r="24">
      <c r="A24" s="21" t="inlineStr">
        <is>
          <t>INV-10140</t>
        </is>
      </c>
      <c r="B24" s="22" t="n">
        <v>45664</v>
      </c>
      <c r="C24" s="21" t="inlineStr">
        <is>
          <t>R04</t>
        </is>
      </c>
      <c r="D24" s="21" t="inlineStr">
        <is>
          <t>P400</t>
        </is>
      </c>
      <c r="E24" s="21" t="n">
        <v>4</v>
      </c>
      <c r="F24" s="23" t="n">
        <v>0.1</v>
      </c>
      <c r="G24" s="24">
        <f>TEXT(B24,"mmm")</f>
        <v/>
      </c>
      <c r="H24" s="24">
        <f>HLOOKUP(C24,Lookups!$H$4:$K$5,2,FALSE)</f>
        <v/>
      </c>
      <c r="I24" s="24">
        <f>VLOOKUP(D24,Lookups!$A$5:$E$10,2,FALSE)</f>
        <v/>
      </c>
      <c r="J24" s="24">
        <f>VLOOKUP(D24,Lookups!$A$5:$E$10,3,FALSE)</f>
        <v/>
      </c>
      <c r="K24" s="25">
        <f>VLOOKUP(D24,Lookups!$A$5:$E$10,4,FALSE)</f>
        <v/>
      </c>
      <c r="L24" s="25">
        <f>E24*K24*(1-F24)</f>
        <v/>
      </c>
      <c r="M24" s="25">
        <f>L24*VLOOKUP(D24,Lookups!$A$5:$E$10,5,FALSE)</f>
        <v/>
      </c>
    </row>
    <row r="25">
      <c r="A25" s="21" t="inlineStr">
        <is>
          <t>INV-10907</t>
        </is>
      </c>
      <c r="B25" s="22" t="n">
        <v>45664</v>
      </c>
      <c r="C25" s="21" t="inlineStr">
        <is>
          <t>R03</t>
        </is>
      </c>
      <c r="D25" s="21" t="inlineStr">
        <is>
          <t>P600</t>
        </is>
      </c>
      <c r="E25" s="21" t="n">
        <v>7</v>
      </c>
      <c r="F25" s="23" t="n">
        <v>0.1</v>
      </c>
      <c r="G25" s="24">
        <f>TEXT(B25,"mmm")</f>
        <v/>
      </c>
      <c r="H25" s="24">
        <f>HLOOKUP(C25,Lookups!$H$4:$K$5,2,FALSE)</f>
        <v/>
      </c>
      <c r="I25" s="24">
        <f>VLOOKUP(D25,Lookups!$A$5:$E$10,2,FALSE)</f>
        <v/>
      </c>
      <c r="J25" s="24">
        <f>VLOOKUP(D25,Lookups!$A$5:$E$10,3,FALSE)</f>
        <v/>
      </c>
      <c r="K25" s="25">
        <f>VLOOKUP(D25,Lookups!$A$5:$E$10,4,FALSE)</f>
        <v/>
      </c>
      <c r="L25" s="25">
        <f>E25*K25*(1-F25)</f>
        <v/>
      </c>
      <c r="M25" s="25">
        <f>L25*VLOOKUP(D25,Lookups!$A$5:$E$10,5,FALSE)</f>
        <v/>
      </c>
    </row>
    <row r="26">
      <c r="A26" s="21" t="inlineStr">
        <is>
          <t>INV-11042</t>
        </is>
      </c>
      <c r="B26" s="22" t="n">
        <v>45664</v>
      </c>
      <c r="C26" s="21" t="inlineStr">
        <is>
          <t>R02</t>
        </is>
      </c>
      <c r="D26" s="21" t="inlineStr">
        <is>
          <t>P600</t>
        </is>
      </c>
      <c r="E26" s="21" t="n">
        <v>13</v>
      </c>
      <c r="F26" s="23" t="n">
        <v>0</v>
      </c>
      <c r="G26" s="24">
        <f>TEXT(B26,"mmm")</f>
        <v/>
      </c>
      <c r="H26" s="24">
        <f>HLOOKUP(C26,Lookups!$H$4:$K$5,2,FALSE)</f>
        <v/>
      </c>
      <c r="I26" s="24">
        <f>VLOOKUP(D26,Lookups!$A$5:$E$10,2,FALSE)</f>
        <v/>
      </c>
      <c r="J26" s="24">
        <f>VLOOKUP(D26,Lookups!$A$5:$E$10,3,FALSE)</f>
        <v/>
      </c>
      <c r="K26" s="25">
        <f>VLOOKUP(D26,Lookups!$A$5:$E$10,4,FALSE)</f>
        <v/>
      </c>
      <c r="L26" s="25">
        <f>E26*K26*(1-F26)</f>
        <v/>
      </c>
      <c r="M26" s="25">
        <f>L26*VLOOKUP(D26,Lookups!$A$5:$E$10,5,FALSE)</f>
        <v/>
      </c>
    </row>
    <row r="27">
      <c r="A27" s="21" t="inlineStr">
        <is>
          <t>INV-10461</t>
        </is>
      </c>
      <c r="B27" s="22" t="n">
        <v>45665</v>
      </c>
      <c r="C27" s="21" t="inlineStr">
        <is>
          <t>R03</t>
        </is>
      </c>
      <c r="D27" s="21" t="inlineStr">
        <is>
          <t>P600</t>
        </is>
      </c>
      <c r="E27" s="21" t="n">
        <v>10</v>
      </c>
      <c r="F27" s="23" t="n">
        <v>0</v>
      </c>
      <c r="G27" s="24">
        <f>TEXT(B27,"mmm")</f>
        <v/>
      </c>
      <c r="H27" s="24">
        <f>HLOOKUP(C27,Lookups!$H$4:$K$5,2,FALSE)</f>
        <v/>
      </c>
      <c r="I27" s="24">
        <f>VLOOKUP(D27,Lookups!$A$5:$E$10,2,FALSE)</f>
        <v/>
      </c>
      <c r="J27" s="24">
        <f>VLOOKUP(D27,Lookups!$A$5:$E$10,3,FALSE)</f>
        <v/>
      </c>
      <c r="K27" s="25">
        <f>VLOOKUP(D27,Lookups!$A$5:$E$10,4,FALSE)</f>
        <v/>
      </c>
      <c r="L27" s="25">
        <f>E27*K27*(1-F27)</f>
        <v/>
      </c>
      <c r="M27" s="25">
        <f>L27*VLOOKUP(D27,Lookups!$A$5:$E$10,5,FALSE)</f>
        <v/>
      </c>
    </row>
    <row r="28">
      <c r="A28" s="21" t="inlineStr">
        <is>
          <t>INV-10659</t>
        </is>
      </c>
      <c r="B28" s="22" t="n">
        <v>45665</v>
      </c>
      <c r="C28" s="21" t="inlineStr">
        <is>
          <t>R02</t>
        </is>
      </c>
      <c r="D28" s="21" t="inlineStr">
        <is>
          <t>P300</t>
        </is>
      </c>
      <c r="E28" s="21" t="n">
        <v>2</v>
      </c>
      <c r="F28" s="23" t="n">
        <v>0</v>
      </c>
      <c r="G28" s="24">
        <f>TEXT(B28,"mmm")</f>
        <v/>
      </c>
      <c r="H28" s="24">
        <f>HLOOKUP(C28,Lookups!$H$4:$K$5,2,FALSE)</f>
        <v/>
      </c>
      <c r="I28" s="24">
        <f>VLOOKUP(D28,Lookups!$A$5:$E$10,2,FALSE)</f>
        <v/>
      </c>
      <c r="J28" s="24">
        <f>VLOOKUP(D28,Lookups!$A$5:$E$10,3,FALSE)</f>
        <v/>
      </c>
      <c r="K28" s="25">
        <f>VLOOKUP(D28,Lookups!$A$5:$E$10,4,FALSE)</f>
        <v/>
      </c>
      <c r="L28" s="25">
        <f>E28*K28*(1-F28)</f>
        <v/>
      </c>
      <c r="M28" s="25">
        <f>L28*VLOOKUP(D28,Lookups!$A$5:$E$10,5,FALSE)</f>
        <v/>
      </c>
    </row>
    <row r="29">
      <c r="A29" s="21" t="inlineStr">
        <is>
          <t>INV-10830</t>
        </is>
      </c>
      <c r="B29" s="22" t="n">
        <v>45665</v>
      </c>
      <c r="C29" s="21" t="inlineStr">
        <is>
          <t>R02</t>
        </is>
      </c>
      <c r="D29" s="21" t="inlineStr">
        <is>
          <t>P300</t>
        </is>
      </c>
      <c r="E29" s="21" t="n">
        <v>1</v>
      </c>
      <c r="F29" s="23" t="n">
        <v>0</v>
      </c>
      <c r="G29" s="24">
        <f>TEXT(B29,"mmm")</f>
        <v/>
      </c>
      <c r="H29" s="24">
        <f>HLOOKUP(C29,Lookups!$H$4:$K$5,2,FALSE)</f>
        <v/>
      </c>
      <c r="I29" s="24">
        <f>VLOOKUP(D29,Lookups!$A$5:$E$10,2,FALSE)</f>
        <v/>
      </c>
      <c r="J29" s="24">
        <f>VLOOKUP(D29,Lookups!$A$5:$E$10,3,FALSE)</f>
        <v/>
      </c>
      <c r="K29" s="25">
        <f>VLOOKUP(D29,Lookups!$A$5:$E$10,4,FALSE)</f>
        <v/>
      </c>
      <c r="L29" s="25">
        <f>E29*K29*(1-F29)</f>
        <v/>
      </c>
      <c r="M29" s="25">
        <f>L29*VLOOKUP(D29,Lookups!$A$5:$E$10,5,FALSE)</f>
        <v/>
      </c>
    </row>
    <row r="30">
      <c r="A30" s="21" t="inlineStr">
        <is>
          <t>INV-10258</t>
        </is>
      </c>
      <c r="B30" s="22" t="n">
        <v>45666</v>
      </c>
      <c r="C30" s="21" t="inlineStr">
        <is>
          <t>R03</t>
        </is>
      </c>
      <c r="D30" s="21" t="inlineStr">
        <is>
          <t>P200</t>
        </is>
      </c>
      <c r="E30" s="21" t="n">
        <v>2</v>
      </c>
      <c r="F30" s="23" t="n">
        <v>0</v>
      </c>
      <c r="G30" s="24">
        <f>TEXT(B30,"mmm")</f>
        <v/>
      </c>
      <c r="H30" s="24">
        <f>HLOOKUP(C30,Lookups!$H$4:$K$5,2,FALSE)</f>
        <v/>
      </c>
      <c r="I30" s="24">
        <f>VLOOKUP(D30,Lookups!$A$5:$E$10,2,FALSE)</f>
        <v/>
      </c>
      <c r="J30" s="24">
        <f>VLOOKUP(D30,Lookups!$A$5:$E$10,3,FALSE)</f>
        <v/>
      </c>
      <c r="K30" s="25">
        <f>VLOOKUP(D30,Lookups!$A$5:$E$10,4,FALSE)</f>
        <v/>
      </c>
      <c r="L30" s="25">
        <f>E30*K30*(1-F30)</f>
        <v/>
      </c>
      <c r="M30" s="25">
        <f>L30*VLOOKUP(D30,Lookups!$A$5:$E$10,5,FALSE)</f>
        <v/>
      </c>
    </row>
    <row r="31">
      <c r="A31" s="21" t="inlineStr">
        <is>
          <t>INV-10517</t>
        </is>
      </c>
      <c r="B31" s="22" t="n">
        <v>45666</v>
      </c>
      <c r="C31" s="21" t="inlineStr">
        <is>
          <t>R04</t>
        </is>
      </c>
      <c r="D31" s="21" t="inlineStr">
        <is>
          <t>P300</t>
        </is>
      </c>
      <c r="E31" s="21" t="n">
        <v>10</v>
      </c>
      <c r="F31" s="23" t="n">
        <v>0</v>
      </c>
      <c r="G31" s="24">
        <f>TEXT(B31,"mmm")</f>
        <v/>
      </c>
      <c r="H31" s="24">
        <f>HLOOKUP(C31,Lookups!$H$4:$K$5,2,FALSE)</f>
        <v/>
      </c>
      <c r="I31" s="24">
        <f>VLOOKUP(D31,Lookups!$A$5:$E$10,2,FALSE)</f>
        <v/>
      </c>
      <c r="J31" s="24">
        <f>VLOOKUP(D31,Lookups!$A$5:$E$10,3,FALSE)</f>
        <v/>
      </c>
      <c r="K31" s="25">
        <f>VLOOKUP(D31,Lookups!$A$5:$E$10,4,FALSE)</f>
        <v/>
      </c>
      <c r="L31" s="25">
        <f>E31*K31*(1-F31)</f>
        <v/>
      </c>
      <c r="M31" s="25">
        <f>L31*VLOOKUP(D31,Lookups!$A$5:$E$10,5,FALSE)</f>
        <v/>
      </c>
    </row>
    <row r="32">
      <c r="A32" s="21" t="inlineStr">
        <is>
          <t>INV-10527</t>
        </is>
      </c>
      <c r="B32" s="22" t="n">
        <v>45666</v>
      </c>
      <c r="C32" s="21" t="inlineStr">
        <is>
          <t>R04</t>
        </is>
      </c>
      <c r="D32" s="21" t="inlineStr">
        <is>
          <t>P100</t>
        </is>
      </c>
      <c r="E32" s="21" t="n">
        <v>1</v>
      </c>
      <c r="F32" s="23" t="n">
        <v>0</v>
      </c>
      <c r="G32" s="24">
        <f>TEXT(B32,"mmm")</f>
        <v/>
      </c>
      <c r="H32" s="24">
        <f>HLOOKUP(C32,Lookups!$H$4:$K$5,2,FALSE)</f>
        <v/>
      </c>
      <c r="I32" s="24">
        <f>VLOOKUP(D32,Lookups!$A$5:$E$10,2,FALSE)</f>
        <v/>
      </c>
      <c r="J32" s="24">
        <f>VLOOKUP(D32,Lookups!$A$5:$E$10,3,FALSE)</f>
        <v/>
      </c>
      <c r="K32" s="25">
        <f>VLOOKUP(D32,Lookups!$A$5:$E$10,4,FALSE)</f>
        <v/>
      </c>
      <c r="L32" s="25">
        <f>E32*K32*(1-F32)</f>
        <v/>
      </c>
      <c r="M32" s="25">
        <f>L32*VLOOKUP(D32,Lookups!$A$5:$E$10,5,FALSE)</f>
        <v/>
      </c>
    </row>
    <row r="33">
      <c r="A33" s="21" t="inlineStr">
        <is>
          <t>INV-10529</t>
        </is>
      </c>
      <c r="B33" s="22" t="n">
        <v>45666</v>
      </c>
      <c r="C33" s="21" t="inlineStr">
        <is>
          <t>R04</t>
        </is>
      </c>
      <c r="D33" s="21" t="inlineStr">
        <is>
          <t>P500</t>
        </is>
      </c>
      <c r="E33" s="21" t="n">
        <v>6</v>
      </c>
      <c r="F33" s="23" t="n">
        <v>0</v>
      </c>
      <c r="G33" s="24">
        <f>TEXT(B33,"mmm")</f>
        <v/>
      </c>
      <c r="H33" s="24">
        <f>HLOOKUP(C33,Lookups!$H$4:$K$5,2,FALSE)</f>
        <v/>
      </c>
      <c r="I33" s="24">
        <f>VLOOKUP(D33,Lookups!$A$5:$E$10,2,FALSE)</f>
        <v/>
      </c>
      <c r="J33" s="24">
        <f>VLOOKUP(D33,Lookups!$A$5:$E$10,3,FALSE)</f>
        <v/>
      </c>
      <c r="K33" s="25">
        <f>VLOOKUP(D33,Lookups!$A$5:$E$10,4,FALSE)</f>
        <v/>
      </c>
      <c r="L33" s="25">
        <f>E33*K33*(1-F33)</f>
        <v/>
      </c>
      <c r="M33" s="25">
        <f>L33*VLOOKUP(D33,Lookups!$A$5:$E$10,5,FALSE)</f>
        <v/>
      </c>
    </row>
    <row r="34">
      <c r="A34" s="21" t="inlineStr">
        <is>
          <t>INV-10129</t>
        </is>
      </c>
      <c r="B34" s="22" t="n">
        <v>45667</v>
      </c>
      <c r="C34" s="21" t="inlineStr">
        <is>
          <t>R01</t>
        </is>
      </c>
      <c r="D34" s="21" t="inlineStr">
        <is>
          <t>P600</t>
        </is>
      </c>
      <c r="E34" s="21" t="n">
        <v>12</v>
      </c>
      <c r="F34" s="23" t="n">
        <v>0</v>
      </c>
      <c r="G34" s="24">
        <f>TEXT(B34,"mmm")</f>
        <v/>
      </c>
      <c r="H34" s="24">
        <f>HLOOKUP(C34,Lookups!$H$4:$K$5,2,FALSE)</f>
        <v/>
      </c>
      <c r="I34" s="24">
        <f>VLOOKUP(D34,Lookups!$A$5:$E$10,2,FALSE)</f>
        <v/>
      </c>
      <c r="J34" s="24">
        <f>VLOOKUP(D34,Lookups!$A$5:$E$10,3,FALSE)</f>
        <v/>
      </c>
      <c r="K34" s="25">
        <f>VLOOKUP(D34,Lookups!$A$5:$E$10,4,FALSE)</f>
        <v/>
      </c>
      <c r="L34" s="25">
        <f>E34*K34*(1-F34)</f>
        <v/>
      </c>
      <c r="M34" s="25">
        <f>L34*VLOOKUP(D34,Lookups!$A$5:$E$10,5,FALSE)</f>
        <v/>
      </c>
    </row>
    <row r="35">
      <c r="A35" s="21" t="inlineStr">
        <is>
          <t>INV-11090</t>
        </is>
      </c>
      <c r="B35" s="22" t="n">
        <v>45667</v>
      </c>
      <c r="C35" s="21" t="inlineStr">
        <is>
          <t>R01</t>
        </is>
      </c>
      <c r="D35" s="21" t="inlineStr">
        <is>
          <t>P200</t>
        </is>
      </c>
      <c r="E35" s="21" t="n">
        <v>18</v>
      </c>
      <c r="F35" s="23" t="n">
        <v>0</v>
      </c>
      <c r="G35" s="24">
        <f>TEXT(B35,"mmm")</f>
        <v/>
      </c>
      <c r="H35" s="24">
        <f>HLOOKUP(C35,Lookups!$H$4:$K$5,2,FALSE)</f>
        <v/>
      </c>
      <c r="I35" s="24">
        <f>VLOOKUP(D35,Lookups!$A$5:$E$10,2,FALSE)</f>
        <v/>
      </c>
      <c r="J35" s="24">
        <f>VLOOKUP(D35,Lookups!$A$5:$E$10,3,FALSE)</f>
        <v/>
      </c>
      <c r="K35" s="25">
        <f>VLOOKUP(D35,Lookups!$A$5:$E$10,4,FALSE)</f>
        <v/>
      </c>
      <c r="L35" s="25">
        <f>E35*K35*(1-F35)</f>
        <v/>
      </c>
      <c r="M35" s="25">
        <f>L35*VLOOKUP(D35,Lookups!$A$5:$E$10,5,FALSE)</f>
        <v/>
      </c>
    </row>
    <row r="36">
      <c r="A36" s="21" t="inlineStr">
        <is>
          <t>INV-11119</t>
        </is>
      </c>
      <c r="B36" s="22" t="n">
        <v>45667</v>
      </c>
      <c r="C36" s="21" t="inlineStr">
        <is>
          <t>R03</t>
        </is>
      </c>
      <c r="D36" s="21" t="inlineStr">
        <is>
          <t>P500</t>
        </is>
      </c>
      <c r="E36" s="21" t="n">
        <v>25</v>
      </c>
      <c r="F36" s="23" t="n">
        <v>0</v>
      </c>
      <c r="G36" s="24">
        <f>TEXT(B36,"mmm")</f>
        <v/>
      </c>
      <c r="H36" s="24">
        <f>HLOOKUP(C36,Lookups!$H$4:$K$5,2,FALSE)</f>
        <v/>
      </c>
      <c r="I36" s="24">
        <f>VLOOKUP(D36,Lookups!$A$5:$E$10,2,FALSE)</f>
        <v/>
      </c>
      <c r="J36" s="24">
        <f>VLOOKUP(D36,Lookups!$A$5:$E$10,3,FALSE)</f>
        <v/>
      </c>
      <c r="K36" s="25">
        <f>VLOOKUP(D36,Lookups!$A$5:$E$10,4,FALSE)</f>
        <v/>
      </c>
      <c r="L36" s="25">
        <f>E36*K36*(1-F36)</f>
        <v/>
      </c>
      <c r="M36" s="25">
        <f>L36*VLOOKUP(D36,Lookups!$A$5:$E$10,5,FALSE)</f>
        <v/>
      </c>
    </row>
    <row r="37">
      <c r="A37" s="21" t="inlineStr">
        <is>
          <t>INV-10041</t>
        </is>
      </c>
      <c r="B37" s="22" t="n">
        <v>45668</v>
      </c>
      <c r="C37" s="21" t="inlineStr">
        <is>
          <t>R02</t>
        </is>
      </c>
      <c r="D37" s="21" t="inlineStr">
        <is>
          <t>P500</t>
        </is>
      </c>
      <c r="E37" s="21" t="n">
        <v>19</v>
      </c>
      <c r="F37" s="23" t="n">
        <v>0</v>
      </c>
      <c r="G37" s="24">
        <f>TEXT(B37,"mmm")</f>
        <v/>
      </c>
      <c r="H37" s="24">
        <f>HLOOKUP(C37,Lookups!$H$4:$K$5,2,FALSE)</f>
        <v/>
      </c>
      <c r="I37" s="24">
        <f>VLOOKUP(D37,Lookups!$A$5:$E$10,2,FALSE)</f>
        <v/>
      </c>
      <c r="J37" s="24">
        <f>VLOOKUP(D37,Lookups!$A$5:$E$10,3,FALSE)</f>
        <v/>
      </c>
      <c r="K37" s="25">
        <f>VLOOKUP(D37,Lookups!$A$5:$E$10,4,FALSE)</f>
        <v/>
      </c>
      <c r="L37" s="25">
        <f>E37*K37*(1-F37)</f>
        <v/>
      </c>
      <c r="M37" s="25">
        <f>L37*VLOOKUP(D37,Lookups!$A$5:$E$10,5,FALSE)</f>
        <v/>
      </c>
    </row>
    <row r="38">
      <c r="A38" s="21" t="inlineStr">
        <is>
          <t>INV-10749</t>
        </is>
      </c>
      <c r="B38" s="22" t="n">
        <v>45668</v>
      </c>
      <c r="C38" s="21" t="inlineStr">
        <is>
          <t>R03</t>
        </is>
      </c>
      <c r="D38" s="21" t="inlineStr">
        <is>
          <t>P300</t>
        </is>
      </c>
      <c r="E38" s="21" t="n">
        <v>4</v>
      </c>
      <c r="F38" s="23" t="n">
        <v>0</v>
      </c>
      <c r="G38" s="24">
        <f>TEXT(B38,"mmm")</f>
        <v/>
      </c>
      <c r="H38" s="24">
        <f>HLOOKUP(C38,Lookups!$H$4:$K$5,2,FALSE)</f>
        <v/>
      </c>
      <c r="I38" s="24">
        <f>VLOOKUP(D38,Lookups!$A$5:$E$10,2,FALSE)</f>
        <v/>
      </c>
      <c r="J38" s="24">
        <f>VLOOKUP(D38,Lookups!$A$5:$E$10,3,FALSE)</f>
        <v/>
      </c>
      <c r="K38" s="25">
        <f>VLOOKUP(D38,Lookups!$A$5:$E$10,4,FALSE)</f>
        <v/>
      </c>
      <c r="L38" s="25">
        <f>E38*K38*(1-F38)</f>
        <v/>
      </c>
      <c r="M38" s="25">
        <f>L38*VLOOKUP(D38,Lookups!$A$5:$E$10,5,FALSE)</f>
        <v/>
      </c>
    </row>
    <row r="39">
      <c r="A39" s="21" t="inlineStr">
        <is>
          <t>INV-10783</t>
        </is>
      </c>
      <c r="B39" s="22" t="n">
        <v>45668</v>
      </c>
      <c r="C39" s="21" t="inlineStr">
        <is>
          <t>R03</t>
        </is>
      </c>
      <c r="D39" s="21" t="inlineStr">
        <is>
          <t>P300</t>
        </is>
      </c>
      <c r="E39" s="21" t="n">
        <v>10</v>
      </c>
      <c r="F39" s="23" t="n">
        <v>0.05</v>
      </c>
      <c r="G39" s="24">
        <f>TEXT(B39,"mmm")</f>
        <v/>
      </c>
      <c r="H39" s="24">
        <f>HLOOKUP(C39,Lookups!$H$4:$K$5,2,FALSE)</f>
        <v/>
      </c>
      <c r="I39" s="24">
        <f>VLOOKUP(D39,Lookups!$A$5:$E$10,2,FALSE)</f>
        <v/>
      </c>
      <c r="J39" s="24">
        <f>VLOOKUP(D39,Lookups!$A$5:$E$10,3,FALSE)</f>
        <v/>
      </c>
      <c r="K39" s="25">
        <f>VLOOKUP(D39,Lookups!$A$5:$E$10,4,FALSE)</f>
        <v/>
      </c>
      <c r="L39" s="25">
        <f>E39*K39*(1-F39)</f>
        <v/>
      </c>
      <c r="M39" s="25">
        <f>L39*VLOOKUP(D39,Lookups!$A$5:$E$10,5,FALSE)</f>
        <v/>
      </c>
    </row>
    <row r="40">
      <c r="A40" s="21" t="inlineStr">
        <is>
          <t>INV-11112</t>
        </is>
      </c>
      <c r="B40" s="22" t="n">
        <v>45668</v>
      </c>
      <c r="C40" s="21" t="inlineStr">
        <is>
          <t>R04</t>
        </is>
      </c>
      <c r="D40" s="21" t="inlineStr">
        <is>
          <t>P600</t>
        </is>
      </c>
      <c r="E40" s="21" t="n">
        <v>12</v>
      </c>
      <c r="F40" s="23" t="n">
        <v>0</v>
      </c>
      <c r="G40" s="24">
        <f>TEXT(B40,"mmm")</f>
        <v/>
      </c>
      <c r="H40" s="24">
        <f>HLOOKUP(C40,Lookups!$H$4:$K$5,2,FALSE)</f>
        <v/>
      </c>
      <c r="I40" s="24">
        <f>VLOOKUP(D40,Lookups!$A$5:$E$10,2,FALSE)</f>
        <v/>
      </c>
      <c r="J40" s="24">
        <f>VLOOKUP(D40,Lookups!$A$5:$E$10,3,FALSE)</f>
        <v/>
      </c>
      <c r="K40" s="25">
        <f>VLOOKUP(D40,Lookups!$A$5:$E$10,4,FALSE)</f>
        <v/>
      </c>
      <c r="L40" s="25">
        <f>E40*K40*(1-F40)</f>
        <v/>
      </c>
      <c r="M40" s="25">
        <f>L40*VLOOKUP(D40,Lookups!$A$5:$E$10,5,FALSE)</f>
        <v/>
      </c>
    </row>
    <row r="41">
      <c r="A41" s="21" t="inlineStr">
        <is>
          <t>INV-10588</t>
        </is>
      </c>
      <c r="B41" s="22" t="n">
        <v>45669</v>
      </c>
      <c r="C41" s="21" t="inlineStr">
        <is>
          <t>R01</t>
        </is>
      </c>
      <c r="D41" s="21" t="inlineStr">
        <is>
          <t>P300</t>
        </is>
      </c>
      <c r="E41" s="21" t="n">
        <v>22</v>
      </c>
      <c r="F41" s="23" t="n">
        <v>0</v>
      </c>
      <c r="G41" s="24">
        <f>TEXT(B41,"mmm")</f>
        <v/>
      </c>
      <c r="H41" s="24">
        <f>HLOOKUP(C41,Lookups!$H$4:$K$5,2,FALSE)</f>
        <v/>
      </c>
      <c r="I41" s="24">
        <f>VLOOKUP(D41,Lookups!$A$5:$E$10,2,FALSE)</f>
        <v/>
      </c>
      <c r="J41" s="24">
        <f>VLOOKUP(D41,Lookups!$A$5:$E$10,3,FALSE)</f>
        <v/>
      </c>
      <c r="K41" s="25">
        <f>VLOOKUP(D41,Lookups!$A$5:$E$10,4,FALSE)</f>
        <v/>
      </c>
      <c r="L41" s="25">
        <f>E41*K41*(1-F41)</f>
        <v/>
      </c>
      <c r="M41" s="25">
        <f>L41*VLOOKUP(D41,Lookups!$A$5:$E$10,5,FALSE)</f>
        <v/>
      </c>
    </row>
    <row r="42">
      <c r="A42" s="21" t="inlineStr">
        <is>
          <t>INV-10980</t>
        </is>
      </c>
      <c r="B42" s="22" t="n">
        <v>45669</v>
      </c>
      <c r="C42" s="21" t="inlineStr">
        <is>
          <t>R01</t>
        </is>
      </c>
      <c r="D42" s="21" t="inlineStr">
        <is>
          <t>P200</t>
        </is>
      </c>
      <c r="E42" s="21" t="n">
        <v>5</v>
      </c>
      <c r="F42" s="23" t="n">
        <v>0</v>
      </c>
      <c r="G42" s="24">
        <f>TEXT(B42,"mmm")</f>
        <v/>
      </c>
      <c r="H42" s="24">
        <f>HLOOKUP(C42,Lookups!$H$4:$K$5,2,FALSE)</f>
        <v/>
      </c>
      <c r="I42" s="24">
        <f>VLOOKUP(D42,Lookups!$A$5:$E$10,2,FALSE)</f>
        <v/>
      </c>
      <c r="J42" s="24">
        <f>VLOOKUP(D42,Lookups!$A$5:$E$10,3,FALSE)</f>
        <v/>
      </c>
      <c r="K42" s="25">
        <f>VLOOKUP(D42,Lookups!$A$5:$E$10,4,FALSE)</f>
        <v/>
      </c>
      <c r="L42" s="25">
        <f>E42*K42*(1-F42)</f>
        <v/>
      </c>
      <c r="M42" s="25">
        <f>L42*VLOOKUP(D42,Lookups!$A$5:$E$10,5,FALSE)</f>
        <v/>
      </c>
    </row>
    <row r="43">
      <c r="A43" s="21" t="inlineStr">
        <is>
          <t>INV-10686</t>
        </is>
      </c>
      <c r="B43" s="22" t="n">
        <v>45670</v>
      </c>
      <c r="C43" s="21" t="inlineStr">
        <is>
          <t>R03</t>
        </is>
      </c>
      <c r="D43" s="21" t="inlineStr">
        <is>
          <t>P200</t>
        </is>
      </c>
      <c r="E43" s="21" t="n">
        <v>21</v>
      </c>
      <c r="F43" s="23" t="n">
        <v>0</v>
      </c>
      <c r="G43" s="24">
        <f>TEXT(B43,"mmm")</f>
        <v/>
      </c>
      <c r="H43" s="24">
        <f>HLOOKUP(C43,Lookups!$H$4:$K$5,2,FALSE)</f>
        <v/>
      </c>
      <c r="I43" s="24">
        <f>VLOOKUP(D43,Lookups!$A$5:$E$10,2,FALSE)</f>
        <v/>
      </c>
      <c r="J43" s="24">
        <f>VLOOKUP(D43,Lookups!$A$5:$E$10,3,FALSE)</f>
        <v/>
      </c>
      <c r="K43" s="25">
        <f>VLOOKUP(D43,Lookups!$A$5:$E$10,4,FALSE)</f>
        <v/>
      </c>
      <c r="L43" s="25">
        <f>E43*K43*(1-F43)</f>
        <v/>
      </c>
      <c r="M43" s="25">
        <f>L43*VLOOKUP(D43,Lookups!$A$5:$E$10,5,FALSE)</f>
        <v/>
      </c>
    </row>
    <row r="44">
      <c r="A44" s="21" t="inlineStr">
        <is>
          <t>INV-10923</t>
        </is>
      </c>
      <c r="B44" s="22" t="n">
        <v>45670</v>
      </c>
      <c r="C44" s="21" t="inlineStr">
        <is>
          <t>R03</t>
        </is>
      </c>
      <c r="D44" s="21" t="inlineStr">
        <is>
          <t>P500</t>
        </is>
      </c>
      <c r="E44" s="21" t="n">
        <v>17</v>
      </c>
      <c r="F44" s="23" t="n">
        <v>0.1</v>
      </c>
      <c r="G44" s="24">
        <f>TEXT(B44,"mmm")</f>
        <v/>
      </c>
      <c r="H44" s="24">
        <f>HLOOKUP(C44,Lookups!$H$4:$K$5,2,FALSE)</f>
        <v/>
      </c>
      <c r="I44" s="24">
        <f>VLOOKUP(D44,Lookups!$A$5:$E$10,2,FALSE)</f>
        <v/>
      </c>
      <c r="J44" s="24">
        <f>VLOOKUP(D44,Lookups!$A$5:$E$10,3,FALSE)</f>
        <v/>
      </c>
      <c r="K44" s="25">
        <f>VLOOKUP(D44,Lookups!$A$5:$E$10,4,FALSE)</f>
        <v/>
      </c>
      <c r="L44" s="25">
        <f>E44*K44*(1-F44)</f>
        <v/>
      </c>
      <c r="M44" s="25">
        <f>L44*VLOOKUP(D44,Lookups!$A$5:$E$10,5,FALSE)</f>
        <v/>
      </c>
    </row>
    <row r="45">
      <c r="A45" s="21" t="inlineStr">
        <is>
          <t>INV-10389</t>
        </is>
      </c>
      <c r="B45" s="22" t="n">
        <v>45671</v>
      </c>
      <c r="C45" s="21" t="inlineStr">
        <is>
          <t>R03</t>
        </is>
      </c>
      <c r="D45" s="21" t="inlineStr">
        <is>
          <t>P300</t>
        </is>
      </c>
      <c r="E45" s="21" t="n">
        <v>15</v>
      </c>
      <c r="F45" s="23" t="n">
        <v>0</v>
      </c>
      <c r="G45" s="24">
        <f>TEXT(B45,"mmm")</f>
        <v/>
      </c>
      <c r="H45" s="24">
        <f>HLOOKUP(C45,Lookups!$H$4:$K$5,2,FALSE)</f>
        <v/>
      </c>
      <c r="I45" s="24">
        <f>VLOOKUP(D45,Lookups!$A$5:$E$10,2,FALSE)</f>
        <v/>
      </c>
      <c r="J45" s="24">
        <f>VLOOKUP(D45,Lookups!$A$5:$E$10,3,FALSE)</f>
        <v/>
      </c>
      <c r="K45" s="25">
        <f>VLOOKUP(D45,Lookups!$A$5:$E$10,4,FALSE)</f>
        <v/>
      </c>
      <c r="L45" s="25">
        <f>E45*K45*(1-F45)</f>
        <v/>
      </c>
      <c r="M45" s="25">
        <f>L45*VLOOKUP(D45,Lookups!$A$5:$E$10,5,FALSE)</f>
        <v/>
      </c>
    </row>
    <row r="46">
      <c r="A46" s="21" t="inlineStr">
        <is>
          <t>INV-10759</t>
        </is>
      </c>
      <c r="B46" s="22" t="n">
        <v>45671</v>
      </c>
      <c r="C46" s="21" t="inlineStr">
        <is>
          <t>R02</t>
        </is>
      </c>
      <c r="D46" s="21" t="inlineStr">
        <is>
          <t>P200</t>
        </is>
      </c>
      <c r="E46" s="21" t="n">
        <v>21</v>
      </c>
      <c r="F46" s="23" t="n">
        <v>0.05</v>
      </c>
      <c r="G46" s="24">
        <f>TEXT(B46,"mmm")</f>
        <v/>
      </c>
      <c r="H46" s="24">
        <f>HLOOKUP(C46,Lookups!$H$4:$K$5,2,FALSE)</f>
        <v/>
      </c>
      <c r="I46" s="24">
        <f>VLOOKUP(D46,Lookups!$A$5:$E$10,2,FALSE)</f>
        <v/>
      </c>
      <c r="J46" s="24">
        <f>VLOOKUP(D46,Lookups!$A$5:$E$10,3,FALSE)</f>
        <v/>
      </c>
      <c r="K46" s="25">
        <f>VLOOKUP(D46,Lookups!$A$5:$E$10,4,FALSE)</f>
        <v/>
      </c>
      <c r="L46" s="25">
        <f>E46*K46*(1-F46)</f>
        <v/>
      </c>
      <c r="M46" s="25">
        <f>L46*VLOOKUP(D46,Lookups!$A$5:$E$10,5,FALSE)</f>
        <v/>
      </c>
    </row>
    <row r="47">
      <c r="A47" s="21" t="inlineStr">
        <is>
          <t>INV-10089</t>
        </is>
      </c>
      <c r="B47" s="22" t="n">
        <v>45672</v>
      </c>
      <c r="C47" s="21" t="inlineStr">
        <is>
          <t>R03</t>
        </is>
      </c>
      <c r="D47" s="21" t="inlineStr">
        <is>
          <t>P100</t>
        </is>
      </c>
      <c r="E47" s="21" t="n">
        <v>6</v>
      </c>
      <c r="F47" s="23" t="n">
        <v>0.05</v>
      </c>
      <c r="G47" s="24">
        <f>TEXT(B47,"mmm")</f>
        <v/>
      </c>
      <c r="H47" s="24">
        <f>HLOOKUP(C47,Lookups!$H$4:$K$5,2,FALSE)</f>
        <v/>
      </c>
      <c r="I47" s="24">
        <f>VLOOKUP(D47,Lookups!$A$5:$E$10,2,FALSE)</f>
        <v/>
      </c>
      <c r="J47" s="24">
        <f>VLOOKUP(D47,Lookups!$A$5:$E$10,3,FALSE)</f>
        <v/>
      </c>
      <c r="K47" s="25">
        <f>VLOOKUP(D47,Lookups!$A$5:$E$10,4,FALSE)</f>
        <v/>
      </c>
      <c r="L47" s="25">
        <f>E47*K47*(1-F47)</f>
        <v/>
      </c>
      <c r="M47" s="25">
        <f>L47*VLOOKUP(D47,Lookups!$A$5:$E$10,5,FALSE)</f>
        <v/>
      </c>
    </row>
    <row r="48">
      <c r="A48" s="21" t="inlineStr">
        <is>
          <t>INV-10375</t>
        </is>
      </c>
      <c r="B48" s="22" t="n">
        <v>45673</v>
      </c>
      <c r="C48" s="21" t="inlineStr">
        <is>
          <t>R04</t>
        </is>
      </c>
      <c r="D48" s="21" t="inlineStr">
        <is>
          <t>P200</t>
        </is>
      </c>
      <c r="E48" s="21" t="n">
        <v>2</v>
      </c>
      <c r="F48" s="23" t="n">
        <v>0</v>
      </c>
      <c r="G48" s="24">
        <f>TEXT(B48,"mmm")</f>
        <v/>
      </c>
      <c r="H48" s="24">
        <f>HLOOKUP(C48,Lookups!$H$4:$K$5,2,FALSE)</f>
        <v/>
      </c>
      <c r="I48" s="24">
        <f>VLOOKUP(D48,Lookups!$A$5:$E$10,2,FALSE)</f>
        <v/>
      </c>
      <c r="J48" s="24">
        <f>VLOOKUP(D48,Lookups!$A$5:$E$10,3,FALSE)</f>
        <v/>
      </c>
      <c r="K48" s="25">
        <f>VLOOKUP(D48,Lookups!$A$5:$E$10,4,FALSE)</f>
        <v/>
      </c>
      <c r="L48" s="25">
        <f>E48*K48*(1-F48)</f>
        <v/>
      </c>
      <c r="M48" s="25">
        <f>L48*VLOOKUP(D48,Lookups!$A$5:$E$10,5,FALSE)</f>
        <v/>
      </c>
    </row>
    <row r="49">
      <c r="A49" s="21" t="inlineStr">
        <is>
          <t>INV-10720</t>
        </is>
      </c>
      <c r="B49" s="22" t="n">
        <v>45673</v>
      </c>
      <c r="C49" s="21" t="inlineStr">
        <is>
          <t>R01</t>
        </is>
      </c>
      <c r="D49" s="21" t="inlineStr">
        <is>
          <t>P300</t>
        </is>
      </c>
      <c r="E49" s="21" t="n">
        <v>16</v>
      </c>
      <c r="F49" s="23" t="n">
        <v>0.05</v>
      </c>
      <c r="G49" s="24">
        <f>TEXT(B49,"mmm")</f>
        <v/>
      </c>
      <c r="H49" s="24">
        <f>HLOOKUP(C49,Lookups!$H$4:$K$5,2,FALSE)</f>
        <v/>
      </c>
      <c r="I49" s="24">
        <f>VLOOKUP(D49,Lookups!$A$5:$E$10,2,FALSE)</f>
        <v/>
      </c>
      <c r="J49" s="24">
        <f>VLOOKUP(D49,Lookups!$A$5:$E$10,3,FALSE)</f>
        <v/>
      </c>
      <c r="K49" s="25">
        <f>VLOOKUP(D49,Lookups!$A$5:$E$10,4,FALSE)</f>
        <v/>
      </c>
      <c r="L49" s="25">
        <f>E49*K49*(1-F49)</f>
        <v/>
      </c>
      <c r="M49" s="25">
        <f>L49*VLOOKUP(D49,Lookups!$A$5:$E$10,5,FALSE)</f>
        <v/>
      </c>
    </row>
    <row r="50">
      <c r="A50" s="21" t="inlineStr">
        <is>
          <t>INV-10003</t>
        </is>
      </c>
      <c r="B50" s="22" t="n">
        <v>45674</v>
      </c>
      <c r="C50" s="21" t="inlineStr">
        <is>
          <t>R01</t>
        </is>
      </c>
      <c r="D50" s="21" t="inlineStr">
        <is>
          <t>P100</t>
        </is>
      </c>
      <c r="E50" s="21" t="n">
        <v>7</v>
      </c>
      <c r="F50" s="23" t="n">
        <v>0</v>
      </c>
      <c r="G50" s="24">
        <f>TEXT(B50,"mmm")</f>
        <v/>
      </c>
      <c r="H50" s="24">
        <f>HLOOKUP(C50,Lookups!$H$4:$K$5,2,FALSE)</f>
        <v/>
      </c>
      <c r="I50" s="24">
        <f>VLOOKUP(D50,Lookups!$A$5:$E$10,2,FALSE)</f>
        <v/>
      </c>
      <c r="J50" s="24">
        <f>VLOOKUP(D50,Lookups!$A$5:$E$10,3,FALSE)</f>
        <v/>
      </c>
      <c r="K50" s="25">
        <f>VLOOKUP(D50,Lookups!$A$5:$E$10,4,FALSE)</f>
        <v/>
      </c>
      <c r="L50" s="25">
        <f>E50*K50*(1-F50)</f>
        <v/>
      </c>
      <c r="M50" s="25">
        <f>L50*VLOOKUP(D50,Lookups!$A$5:$E$10,5,FALSE)</f>
        <v/>
      </c>
    </row>
    <row r="51">
      <c r="A51" s="21" t="inlineStr">
        <is>
          <t>INV-10043</t>
        </is>
      </c>
      <c r="B51" s="22" t="n">
        <v>45674</v>
      </c>
      <c r="C51" s="21" t="inlineStr">
        <is>
          <t>R01</t>
        </is>
      </c>
      <c r="D51" s="21" t="inlineStr">
        <is>
          <t>P300</t>
        </is>
      </c>
      <c r="E51" s="21" t="n">
        <v>17</v>
      </c>
      <c r="F51" s="23" t="n">
        <v>0</v>
      </c>
      <c r="G51" s="24">
        <f>TEXT(B51,"mmm")</f>
        <v/>
      </c>
      <c r="H51" s="24">
        <f>HLOOKUP(C51,Lookups!$H$4:$K$5,2,FALSE)</f>
        <v/>
      </c>
      <c r="I51" s="24">
        <f>VLOOKUP(D51,Lookups!$A$5:$E$10,2,FALSE)</f>
        <v/>
      </c>
      <c r="J51" s="24">
        <f>VLOOKUP(D51,Lookups!$A$5:$E$10,3,FALSE)</f>
        <v/>
      </c>
      <c r="K51" s="25">
        <f>VLOOKUP(D51,Lookups!$A$5:$E$10,4,FALSE)</f>
        <v/>
      </c>
      <c r="L51" s="25">
        <f>E51*K51*(1-F51)</f>
        <v/>
      </c>
      <c r="M51" s="25">
        <f>L51*VLOOKUP(D51,Lookups!$A$5:$E$10,5,FALSE)</f>
        <v/>
      </c>
    </row>
    <row r="52">
      <c r="A52" s="21" t="inlineStr">
        <is>
          <t>INV-10791</t>
        </is>
      </c>
      <c r="B52" s="22" t="n">
        <v>45674</v>
      </c>
      <c r="C52" s="21" t="inlineStr">
        <is>
          <t>R01</t>
        </is>
      </c>
      <c r="D52" s="21" t="inlineStr">
        <is>
          <t>P400</t>
        </is>
      </c>
      <c r="E52" s="21" t="n">
        <v>12</v>
      </c>
      <c r="F52" s="23" t="n">
        <v>0</v>
      </c>
      <c r="G52" s="24">
        <f>TEXT(B52,"mmm")</f>
        <v/>
      </c>
      <c r="H52" s="24">
        <f>HLOOKUP(C52,Lookups!$H$4:$K$5,2,FALSE)</f>
        <v/>
      </c>
      <c r="I52" s="24">
        <f>VLOOKUP(D52,Lookups!$A$5:$E$10,2,FALSE)</f>
        <v/>
      </c>
      <c r="J52" s="24">
        <f>VLOOKUP(D52,Lookups!$A$5:$E$10,3,FALSE)</f>
        <v/>
      </c>
      <c r="K52" s="25">
        <f>VLOOKUP(D52,Lookups!$A$5:$E$10,4,FALSE)</f>
        <v/>
      </c>
      <c r="L52" s="25">
        <f>E52*K52*(1-F52)</f>
        <v/>
      </c>
      <c r="M52" s="25">
        <f>L52*VLOOKUP(D52,Lookups!$A$5:$E$10,5,FALSE)</f>
        <v/>
      </c>
    </row>
    <row r="53">
      <c r="A53" s="21" t="inlineStr">
        <is>
          <t>INV-10231</t>
        </is>
      </c>
      <c r="B53" s="22" t="n">
        <v>45675</v>
      </c>
      <c r="C53" s="21" t="inlineStr">
        <is>
          <t>R03</t>
        </is>
      </c>
      <c r="D53" s="21" t="inlineStr">
        <is>
          <t>P500</t>
        </is>
      </c>
      <c r="E53" s="21" t="n">
        <v>24</v>
      </c>
      <c r="F53" s="23" t="n">
        <v>0</v>
      </c>
      <c r="G53" s="24">
        <f>TEXT(B53,"mmm")</f>
        <v/>
      </c>
      <c r="H53" s="24">
        <f>HLOOKUP(C53,Lookups!$H$4:$K$5,2,FALSE)</f>
        <v/>
      </c>
      <c r="I53" s="24">
        <f>VLOOKUP(D53,Lookups!$A$5:$E$10,2,FALSE)</f>
        <v/>
      </c>
      <c r="J53" s="24">
        <f>VLOOKUP(D53,Lookups!$A$5:$E$10,3,FALSE)</f>
        <v/>
      </c>
      <c r="K53" s="25">
        <f>VLOOKUP(D53,Lookups!$A$5:$E$10,4,FALSE)</f>
        <v/>
      </c>
      <c r="L53" s="25">
        <f>E53*K53*(1-F53)</f>
        <v/>
      </c>
      <c r="M53" s="25">
        <f>L53*VLOOKUP(D53,Lookups!$A$5:$E$10,5,FALSE)</f>
        <v/>
      </c>
    </row>
    <row r="54">
      <c r="A54" s="21" t="inlineStr">
        <is>
          <t>INV-10361</t>
        </is>
      </c>
      <c r="B54" s="22" t="n">
        <v>45676</v>
      </c>
      <c r="C54" s="21" t="inlineStr">
        <is>
          <t>R02</t>
        </is>
      </c>
      <c r="D54" s="21" t="inlineStr">
        <is>
          <t>P300</t>
        </is>
      </c>
      <c r="E54" s="21" t="n">
        <v>2</v>
      </c>
      <c r="F54" s="23" t="n">
        <v>0</v>
      </c>
      <c r="G54" s="24">
        <f>TEXT(B54,"mmm")</f>
        <v/>
      </c>
      <c r="H54" s="24">
        <f>HLOOKUP(C54,Lookups!$H$4:$K$5,2,FALSE)</f>
        <v/>
      </c>
      <c r="I54" s="24">
        <f>VLOOKUP(D54,Lookups!$A$5:$E$10,2,FALSE)</f>
        <v/>
      </c>
      <c r="J54" s="24">
        <f>VLOOKUP(D54,Lookups!$A$5:$E$10,3,FALSE)</f>
        <v/>
      </c>
      <c r="K54" s="25">
        <f>VLOOKUP(D54,Lookups!$A$5:$E$10,4,FALSE)</f>
        <v/>
      </c>
      <c r="L54" s="25">
        <f>E54*K54*(1-F54)</f>
        <v/>
      </c>
      <c r="M54" s="25">
        <f>L54*VLOOKUP(D54,Lookups!$A$5:$E$10,5,FALSE)</f>
        <v/>
      </c>
    </row>
    <row r="55">
      <c r="A55" s="21" t="inlineStr">
        <is>
          <t>INV-10090</t>
        </is>
      </c>
      <c r="B55" s="22" t="n">
        <v>45677</v>
      </c>
      <c r="C55" s="21" t="inlineStr">
        <is>
          <t>R04</t>
        </is>
      </c>
      <c r="D55" s="21" t="inlineStr">
        <is>
          <t>P100</t>
        </is>
      </c>
      <c r="E55" s="21" t="n">
        <v>12</v>
      </c>
      <c r="F55" s="23" t="n">
        <v>0.05</v>
      </c>
      <c r="G55" s="24">
        <f>TEXT(B55,"mmm")</f>
        <v/>
      </c>
      <c r="H55" s="24">
        <f>HLOOKUP(C55,Lookups!$H$4:$K$5,2,FALSE)</f>
        <v/>
      </c>
      <c r="I55" s="24">
        <f>VLOOKUP(D55,Lookups!$A$5:$E$10,2,FALSE)</f>
        <v/>
      </c>
      <c r="J55" s="24">
        <f>VLOOKUP(D55,Lookups!$A$5:$E$10,3,FALSE)</f>
        <v/>
      </c>
      <c r="K55" s="25">
        <f>VLOOKUP(D55,Lookups!$A$5:$E$10,4,FALSE)</f>
        <v/>
      </c>
      <c r="L55" s="25">
        <f>E55*K55*(1-F55)</f>
        <v/>
      </c>
      <c r="M55" s="25">
        <f>L55*VLOOKUP(D55,Lookups!$A$5:$E$10,5,FALSE)</f>
        <v/>
      </c>
    </row>
    <row r="56">
      <c r="A56" s="21" t="inlineStr">
        <is>
          <t>INV-10244</t>
        </is>
      </c>
      <c r="B56" s="22" t="n">
        <v>45677</v>
      </c>
      <c r="C56" s="21" t="inlineStr">
        <is>
          <t>R04</t>
        </is>
      </c>
      <c r="D56" s="21" t="inlineStr">
        <is>
          <t>P300</t>
        </is>
      </c>
      <c r="E56" s="21" t="n">
        <v>4</v>
      </c>
      <c r="F56" s="23" t="n">
        <v>0</v>
      </c>
      <c r="G56" s="24">
        <f>TEXT(B56,"mmm")</f>
        <v/>
      </c>
      <c r="H56" s="24">
        <f>HLOOKUP(C56,Lookups!$H$4:$K$5,2,FALSE)</f>
        <v/>
      </c>
      <c r="I56" s="24">
        <f>VLOOKUP(D56,Lookups!$A$5:$E$10,2,FALSE)</f>
        <v/>
      </c>
      <c r="J56" s="24">
        <f>VLOOKUP(D56,Lookups!$A$5:$E$10,3,FALSE)</f>
        <v/>
      </c>
      <c r="K56" s="25">
        <f>VLOOKUP(D56,Lookups!$A$5:$E$10,4,FALSE)</f>
        <v/>
      </c>
      <c r="L56" s="25">
        <f>E56*K56*(1-F56)</f>
        <v/>
      </c>
      <c r="M56" s="25">
        <f>L56*VLOOKUP(D56,Lookups!$A$5:$E$10,5,FALSE)</f>
        <v/>
      </c>
    </row>
    <row r="57">
      <c r="A57" s="21" t="inlineStr">
        <is>
          <t>INV-10345</t>
        </is>
      </c>
      <c r="B57" s="22" t="n">
        <v>45677</v>
      </c>
      <c r="C57" s="21" t="inlineStr">
        <is>
          <t>R04</t>
        </is>
      </c>
      <c r="D57" s="21" t="inlineStr">
        <is>
          <t>P300</t>
        </is>
      </c>
      <c r="E57" s="21" t="n">
        <v>23</v>
      </c>
      <c r="F57" s="23" t="n">
        <v>0</v>
      </c>
      <c r="G57" s="24">
        <f>TEXT(B57,"mmm")</f>
        <v/>
      </c>
      <c r="H57" s="24">
        <f>HLOOKUP(C57,Lookups!$H$4:$K$5,2,FALSE)</f>
        <v/>
      </c>
      <c r="I57" s="24">
        <f>VLOOKUP(D57,Lookups!$A$5:$E$10,2,FALSE)</f>
        <v/>
      </c>
      <c r="J57" s="24">
        <f>VLOOKUP(D57,Lookups!$A$5:$E$10,3,FALSE)</f>
        <v/>
      </c>
      <c r="K57" s="25">
        <f>VLOOKUP(D57,Lookups!$A$5:$E$10,4,FALSE)</f>
        <v/>
      </c>
      <c r="L57" s="25">
        <f>E57*K57*(1-F57)</f>
        <v/>
      </c>
      <c r="M57" s="25">
        <f>L57*VLOOKUP(D57,Lookups!$A$5:$E$10,5,FALSE)</f>
        <v/>
      </c>
    </row>
    <row r="58">
      <c r="A58" s="21" t="inlineStr">
        <is>
          <t>INV-10781</t>
        </is>
      </c>
      <c r="B58" s="22" t="n">
        <v>45677</v>
      </c>
      <c r="C58" s="21" t="inlineStr">
        <is>
          <t>R03</t>
        </is>
      </c>
      <c r="D58" s="21" t="inlineStr">
        <is>
          <t>P400</t>
        </is>
      </c>
      <c r="E58" s="21" t="n">
        <v>23</v>
      </c>
      <c r="F58" s="23" t="n">
        <v>0</v>
      </c>
      <c r="G58" s="24">
        <f>TEXT(B58,"mmm")</f>
        <v/>
      </c>
      <c r="H58" s="24">
        <f>HLOOKUP(C58,Lookups!$H$4:$K$5,2,FALSE)</f>
        <v/>
      </c>
      <c r="I58" s="24">
        <f>VLOOKUP(D58,Lookups!$A$5:$E$10,2,FALSE)</f>
        <v/>
      </c>
      <c r="J58" s="24">
        <f>VLOOKUP(D58,Lookups!$A$5:$E$10,3,FALSE)</f>
        <v/>
      </c>
      <c r="K58" s="25">
        <f>VLOOKUP(D58,Lookups!$A$5:$E$10,4,FALSE)</f>
        <v/>
      </c>
      <c r="L58" s="25">
        <f>E58*K58*(1-F58)</f>
        <v/>
      </c>
      <c r="M58" s="25">
        <f>L58*VLOOKUP(D58,Lookups!$A$5:$E$10,5,FALSE)</f>
        <v/>
      </c>
    </row>
    <row r="59">
      <c r="A59" s="21" t="inlineStr">
        <is>
          <t>INV-10829</t>
        </is>
      </c>
      <c r="B59" s="22" t="n">
        <v>45677</v>
      </c>
      <c r="C59" s="21" t="inlineStr">
        <is>
          <t>R02</t>
        </is>
      </c>
      <c r="D59" s="21" t="inlineStr">
        <is>
          <t>P500</t>
        </is>
      </c>
      <c r="E59" s="21" t="n">
        <v>24</v>
      </c>
      <c r="F59" s="23" t="n">
        <v>0.05</v>
      </c>
      <c r="G59" s="24">
        <f>TEXT(B59,"mmm")</f>
        <v/>
      </c>
      <c r="H59" s="24">
        <f>HLOOKUP(C59,Lookups!$H$4:$K$5,2,FALSE)</f>
        <v/>
      </c>
      <c r="I59" s="24">
        <f>VLOOKUP(D59,Lookups!$A$5:$E$10,2,FALSE)</f>
        <v/>
      </c>
      <c r="J59" s="24">
        <f>VLOOKUP(D59,Lookups!$A$5:$E$10,3,FALSE)</f>
        <v/>
      </c>
      <c r="K59" s="25">
        <f>VLOOKUP(D59,Lookups!$A$5:$E$10,4,FALSE)</f>
        <v/>
      </c>
      <c r="L59" s="25">
        <f>E59*K59*(1-F59)</f>
        <v/>
      </c>
      <c r="M59" s="25">
        <f>L59*VLOOKUP(D59,Lookups!$A$5:$E$10,5,FALSE)</f>
        <v/>
      </c>
    </row>
    <row r="60">
      <c r="A60" s="21" t="inlineStr">
        <is>
          <t>INV-10930</t>
        </is>
      </c>
      <c r="B60" s="22" t="n">
        <v>45677</v>
      </c>
      <c r="C60" s="21" t="inlineStr">
        <is>
          <t>R01</t>
        </is>
      </c>
      <c r="D60" s="21" t="inlineStr">
        <is>
          <t>P100</t>
        </is>
      </c>
      <c r="E60" s="21" t="n">
        <v>2</v>
      </c>
      <c r="F60" s="23" t="n">
        <v>0</v>
      </c>
      <c r="G60" s="24">
        <f>TEXT(B60,"mmm")</f>
        <v/>
      </c>
      <c r="H60" s="24">
        <f>HLOOKUP(C60,Lookups!$H$4:$K$5,2,FALSE)</f>
        <v/>
      </c>
      <c r="I60" s="24">
        <f>VLOOKUP(D60,Lookups!$A$5:$E$10,2,FALSE)</f>
        <v/>
      </c>
      <c r="J60" s="24">
        <f>VLOOKUP(D60,Lookups!$A$5:$E$10,3,FALSE)</f>
        <v/>
      </c>
      <c r="K60" s="25">
        <f>VLOOKUP(D60,Lookups!$A$5:$E$10,4,FALSE)</f>
        <v/>
      </c>
      <c r="L60" s="25">
        <f>E60*K60*(1-F60)</f>
        <v/>
      </c>
      <c r="M60" s="25">
        <f>L60*VLOOKUP(D60,Lookups!$A$5:$E$10,5,FALSE)</f>
        <v/>
      </c>
    </row>
    <row r="61">
      <c r="A61" s="21" t="inlineStr">
        <is>
          <t>INV-10854</t>
        </is>
      </c>
      <c r="B61" s="22" t="n">
        <v>45678</v>
      </c>
      <c r="C61" s="21" t="inlineStr">
        <is>
          <t>R03</t>
        </is>
      </c>
      <c r="D61" s="21" t="inlineStr">
        <is>
          <t>P300</t>
        </is>
      </c>
      <c r="E61" s="21" t="n">
        <v>22</v>
      </c>
      <c r="F61" s="23" t="n">
        <v>0.05</v>
      </c>
      <c r="G61" s="24">
        <f>TEXT(B61,"mmm")</f>
        <v/>
      </c>
      <c r="H61" s="24">
        <f>HLOOKUP(C61,Lookups!$H$4:$K$5,2,FALSE)</f>
        <v/>
      </c>
      <c r="I61" s="24">
        <f>VLOOKUP(D61,Lookups!$A$5:$E$10,2,FALSE)</f>
        <v/>
      </c>
      <c r="J61" s="24">
        <f>VLOOKUP(D61,Lookups!$A$5:$E$10,3,FALSE)</f>
        <v/>
      </c>
      <c r="K61" s="25">
        <f>VLOOKUP(D61,Lookups!$A$5:$E$10,4,FALSE)</f>
        <v/>
      </c>
      <c r="L61" s="25">
        <f>E61*K61*(1-F61)</f>
        <v/>
      </c>
      <c r="M61" s="25">
        <f>L61*VLOOKUP(D61,Lookups!$A$5:$E$10,5,FALSE)</f>
        <v/>
      </c>
    </row>
    <row r="62">
      <c r="A62" s="21" t="inlineStr">
        <is>
          <t>INV-10079</t>
        </is>
      </c>
      <c r="B62" s="22" t="n">
        <v>45679</v>
      </c>
      <c r="C62" s="21" t="inlineStr">
        <is>
          <t>R03</t>
        </is>
      </c>
      <c r="D62" s="21" t="inlineStr">
        <is>
          <t>P300</t>
        </is>
      </c>
      <c r="E62" s="21" t="n">
        <v>2</v>
      </c>
      <c r="F62" s="23" t="n">
        <v>0.05</v>
      </c>
      <c r="G62" s="24">
        <f>TEXT(B62,"mmm")</f>
        <v/>
      </c>
      <c r="H62" s="24">
        <f>HLOOKUP(C62,Lookups!$H$4:$K$5,2,FALSE)</f>
        <v/>
      </c>
      <c r="I62" s="24">
        <f>VLOOKUP(D62,Lookups!$A$5:$E$10,2,FALSE)</f>
        <v/>
      </c>
      <c r="J62" s="24">
        <f>VLOOKUP(D62,Lookups!$A$5:$E$10,3,FALSE)</f>
        <v/>
      </c>
      <c r="K62" s="25">
        <f>VLOOKUP(D62,Lookups!$A$5:$E$10,4,FALSE)</f>
        <v/>
      </c>
      <c r="L62" s="25">
        <f>E62*K62*(1-F62)</f>
        <v/>
      </c>
      <c r="M62" s="25">
        <f>L62*VLOOKUP(D62,Lookups!$A$5:$E$10,5,FALSE)</f>
        <v/>
      </c>
    </row>
    <row r="63">
      <c r="A63" s="21" t="inlineStr">
        <is>
          <t>INV-10362</t>
        </is>
      </c>
      <c r="B63" s="22" t="n">
        <v>45679</v>
      </c>
      <c r="C63" s="21" t="inlineStr">
        <is>
          <t>R03</t>
        </is>
      </c>
      <c r="D63" s="21" t="inlineStr">
        <is>
          <t>P300</t>
        </is>
      </c>
      <c r="E63" s="21" t="n">
        <v>17</v>
      </c>
      <c r="F63" s="23" t="n">
        <v>0.1</v>
      </c>
      <c r="G63" s="24">
        <f>TEXT(B63,"mmm")</f>
        <v/>
      </c>
      <c r="H63" s="24">
        <f>HLOOKUP(C63,Lookups!$H$4:$K$5,2,FALSE)</f>
        <v/>
      </c>
      <c r="I63" s="24">
        <f>VLOOKUP(D63,Lookups!$A$5:$E$10,2,FALSE)</f>
        <v/>
      </c>
      <c r="J63" s="24">
        <f>VLOOKUP(D63,Lookups!$A$5:$E$10,3,FALSE)</f>
        <v/>
      </c>
      <c r="K63" s="25">
        <f>VLOOKUP(D63,Lookups!$A$5:$E$10,4,FALSE)</f>
        <v/>
      </c>
      <c r="L63" s="25">
        <f>E63*K63*(1-F63)</f>
        <v/>
      </c>
      <c r="M63" s="25">
        <f>L63*VLOOKUP(D63,Lookups!$A$5:$E$10,5,FALSE)</f>
        <v/>
      </c>
    </row>
    <row r="64">
      <c r="A64" s="21" t="inlineStr">
        <is>
          <t>INV-10968</t>
        </is>
      </c>
      <c r="B64" s="22" t="n">
        <v>45679</v>
      </c>
      <c r="C64" s="21" t="inlineStr">
        <is>
          <t>R02</t>
        </is>
      </c>
      <c r="D64" s="21" t="inlineStr">
        <is>
          <t>P600</t>
        </is>
      </c>
      <c r="E64" s="21" t="n">
        <v>17</v>
      </c>
      <c r="F64" s="23" t="n">
        <v>0.05</v>
      </c>
      <c r="G64" s="24">
        <f>TEXT(B64,"mmm")</f>
        <v/>
      </c>
      <c r="H64" s="24">
        <f>HLOOKUP(C64,Lookups!$H$4:$K$5,2,FALSE)</f>
        <v/>
      </c>
      <c r="I64" s="24">
        <f>VLOOKUP(D64,Lookups!$A$5:$E$10,2,FALSE)</f>
        <v/>
      </c>
      <c r="J64" s="24">
        <f>VLOOKUP(D64,Lookups!$A$5:$E$10,3,FALSE)</f>
        <v/>
      </c>
      <c r="K64" s="25">
        <f>VLOOKUP(D64,Lookups!$A$5:$E$10,4,FALSE)</f>
        <v/>
      </c>
      <c r="L64" s="25">
        <f>E64*K64*(1-F64)</f>
        <v/>
      </c>
      <c r="M64" s="25">
        <f>L64*VLOOKUP(D64,Lookups!$A$5:$E$10,5,FALSE)</f>
        <v/>
      </c>
    </row>
    <row r="65">
      <c r="A65" s="21" t="inlineStr">
        <is>
          <t>INV-10010</t>
        </is>
      </c>
      <c r="B65" s="22" t="n">
        <v>45680</v>
      </c>
      <c r="C65" s="21" t="inlineStr">
        <is>
          <t>R04</t>
        </is>
      </c>
      <c r="D65" s="21" t="inlineStr">
        <is>
          <t>P600</t>
        </is>
      </c>
      <c r="E65" s="21" t="n">
        <v>18</v>
      </c>
      <c r="F65" s="23" t="n">
        <v>0</v>
      </c>
      <c r="G65" s="24">
        <f>TEXT(B65,"mmm")</f>
        <v/>
      </c>
      <c r="H65" s="24">
        <f>HLOOKUP(C65,Lookups!$H$4:$K$5,2,FALSE)</f>
        <v/>
      </c>
      <c r="I65" s="24">
        <f>VLOOKUP(D65,Lookups!$A$5:$E$10,2,FALSE)</f>
        <v/>
      </c>
      <c r="J65" s="24">
        <f>VLOOKUP(D65,Lookups!$A$5:$E$10,3,FALSE)</f>
        <v/>
      </c>
      <c r="K65" s="25">
        <f>VLOOKUP(D65,Lookups!$A$5:$E$10,4,FALSE)</f>
        <v/>
      </c>
      <c r="L65" s="25">
        <f>E65*K65*(1-F65)</f>
        <v/>
      </c>
      <c r="M65" s="25">
        <f>L65*VLOOKUP(D65,Lookups!$A$5:$E$10,5,FALSE)</f>
        <v/>
      </c>
    </row>
    <row r="66">
      <c r="A66" s="21" t="inlineStr">
        <is>
          <t>INV-10205</t>
        </is>
      </c>
      <c r="B66" s="22" t="n">
        <v>45680</v>
      </c>
      <c r="C66" s="21" t="inlineStr">
        <is>
          <t>R04</t>
        </is>
      </c>
      <c r="D66" s="21" t="inlineStr">
        <is>
          <t>P300</t>
        </is>
      </c>
      <c r="E66" s="21" t="n">
        <v>23</v>
      </c>
      <c r="F66" s="23" t="n">
        <v>0.1</v>
      </c>
      <c r="G66" s="24">
        <f>TEXT(B66,"mmm")</f>
        <v/>
      </c>
      <c r="H66" s="24">
        <f>HLOOKUP(C66,Lookups!$H$4:$K$5,2,FALSE)</f>
        <v/>
      </c>
      <c r="I66" s="24">
        <f>VLOOKUP(D66,Lookups!$A$5:$E$10,2,FALSE)</f>
        <v/>
      </c>
      <c r="J66" s="24">
        <f>VLOOKUP(D66,Lookups!$A$5:$E$10,3,FALSE)</f>
        <v/>
      </c>
      <c r="K66" s="25">
        <f>VLOOKUP(D66,Lookups!$A$5:$E$10,4,FALSE)</f>
        <v/>
      </c>
      <c r="L66" s="25">
        <f>E66*K66*(1-F66)</f>
        <v/>
      </c>
      <c r="M66" s="25">
        <f>L66*VLOOKUP(D66,Lookups!$A$5:$E$10,5,FALSE)</f>
        <v/>
      </c>
    </row>
    <row r="67">
      <c r="A67" s="21" t="inlineStr">
        <is>
          <t>INV-10332</t>
        </is>
      </c>
      <c r="B67" s="22" t="n">
        <v>45680</v>
      </c>
      <c r="C67" s="21" t="inlineStr">
        <is>
          <t>R03</t>
        </is>
      </c>
      <c r="D67" s="21" t="inlineStr">
        <is>
          <t>P400</t>
        </is>
      </c>
      <c r="E67" s="21" t="n">
        <v>22</v>
      </c>
      <c r="F67" s="23" t="n">
        <v>0</v>
      </c>
      <c r="G67" s="24">
        <f>TEXT(B67,"mmm")</f>
        <v/>
      </c>
      <c r="H67" s="24">
        <f>HLOOKUP(C67,Lookups!$H$4:$K$5,2,FALSE)</f>
        <v/>
      </c>
      <c r="I67" s="24">
        <f>VLOOKUP(D67,Lookups!$A$5:$E$10,2,FALSE)</f>
        <v/>
      </c>
      <c r="J67" s="24">
        <f>VLOOKUP(D67,Lookups!$A$5:$E$10,3,FALSE)</f>
        <v/>
      </c>
      <c r="K67" s="25">
        <f>VLOOKUP(D67,Lookups!$A$5:$E$10,4,FALSE)</f>
        <v/>
      </c>
      <c r="L67" s="25">
        <f>E67*K67*(1-F67)</f>
        <v/>
      </c>
      <c r="M67" s="25">
        <f>L67*VLOOKUP(D67,Lookups!$A$5:$E$10,5,FALSE)</f>
        <v/>
      </c>
    </row>
    <row r="68">
      <c r="A68" s="21" t="inlineStr">
        <is>
          <t>INV-10675</t>
        </is>
      </c>
      <c r="B68" s="22" t="n">
        <v>45680</v>
      </c>
      <c r="C68" s="21" t="inlineStr">
        <is>
          <t>R02</t>
        </is>
      </c>
      <c r="D68" s="21" t="inlineStr">
        <is>
          <t>P100</t>
        </is>
      </c>
      <c r="E68" s="21" t="n">
        <v>2</v>
      </c>
      <c r="F68" s="23" t="n">
        <v>0.1</v>
      </c>
      <c r="G68" s="24">
        <f>TEXT(B68,"mmm")</f>
        <v/>
      </c>
      <c r="H68" s="24">
        <f>HLOOKUP(C68,Lookups!$H$4:$K$5,2,FALSE)</f>
        <v/>
      </c>
      <c r="I68" s="24">
        <f>VLOOKUP(D68,Lookups!$A$5:$E$10,2,FALSE)</f>
        <v/>
      </c>
      <c r="J68" s="24">
        <f>VLOOKUP(D68,Lookups!$A$5:$E$10,3,FALSE)</f>
        <v/>
      </c>
      <c r="K68" s="25">
        <f>VLOOKUP(D68,Lookups!$A$5:$E$10,4,FALSE)</f>
        <v/>
      </c>
      <c r="L68" s="25">
        <f>E68*K68*(1-F68)</f>
        <v/>
      </c>
      <c r="M68" s="25">
        <f>L68*VLOOKUP(D68,Lookups!$A$5:$E$10,5,FALSE)</f>
        <v/>
      </c>
    </row>
    <row r="69">
      <c r="A69" s="21" t="inlineStr">
        <is>
          <t>INV-10291</t>
        </is>
      </c>
      <c r="B69" s="22" t="n">
        <v>45681</v>
      </c>
      <c r="C69" s="21" t="inlineStr">
        <is>
          <t>R04</t>
        </is>
      </c>
      <c r="D69" s="21" t="inlineStr">
        <is>
          <t>P200</t>
        </is>
      </c>
      <c r="E69" s="21" t="n">
        <v>20</v>
      </c>
      <c r="F69" s="23" t="n">
        <v>0</v>
      </c>
      <c r="G69" s="24">
        <f>TEXT(B69,"mmm")</f>
        <v/>
      </c>
      <c r="H69" s="24">
        <f>HLOOKUP(C69,Lookups!$H$4:$K$5,2,FALSE)</f>
        <v/>
      </c>
      <c r="I69" s="24">
        <f>VLOOKUP(D69,Lookups!$A$5:$E$10,2,FALSE)</f>
        <v/>
      </c>
      <c r="J69" s="24">
        <f>VLOOKUP(D69,Lookups!$A$5:$E$10,3,FALSE)</f>
        <v/>
      </c>
      <c r="K69" s="25">
        <f>VLOOKUP(D69,Lookups!$A$5:$E$10,4,FALSE)</f>
        <v/>
      </c>
      <c r="L69" s="25">
        <f>E69*K69*(1-F69)</f>
        <v/>
      </c>
      <c r="M69" s="25">
        <f>L69*VLOOKUP(D69,Lookups!$A$5:$E$10,5,FALSE)</f>
        <v/>
      </c>
    </row>
    <row r="70">
      <c r="A70" s="21" t="inlineStr">
        <is>
          <t>INV-10424</t>
        </is>
      </c>
      <c r="B70" s="22" t="n">
        <v>45681</v>
      </c>
      <c r="C70" s="21" t="inlineStr">
        <is>
          <t>R02</t>
        </is>
      </c>
      <c r="D70" s="21" t="inlineStr">
        <is>
          <t>P100</t>
        </is>
      </c>
      <c r="E70" s="21" t="n">
        <v>23</v>
      </c>
      <c r="F70" s="23" t="n">
        <v>0.05</v>
      </c>
      <c r="G70" s="24">
        <f>TEXT(B70,"mmm")</f>
        <v/>
      </c>
      <c r="H70" s="24">
        <f>HLOOKUP(C70,Lookups!$H$4:$K$5,2,FALSE)</f>
        <v/>
      </c>
      <c r="I70" s="24">
        <f>VLOOKUP(D70,Lookups!$A$5:$E$10,2,FALSE)</f>
        <v/>
      </c>
      <c r="J70" s="24">
        <f>VLOOKUP(D70,Lookups!$A$5:$E$10,3,FALSE)</f>
        <v/>
      </c>
      <c r="K70" s="25">
        <f>VLOOKUP(D70,Lookups!$A$5:$E$10,4,FALSE)</f>
        <v/>
      </c>
      <c r="L70" s="25">
        <f>E70*K70*(1-F70)</f>
        <v/>
      </c>
      <c r="M70" s="25">
        <f>L70*VLOOKUP(D70,Lookups!$A$5:$E$10,5,FALSE)</f>
        <v/>
      </c>
    </row>
    <row r="71">
      <c r="A71" s="21" t="inlineStr">
        <is>
          <t>INV-10482</t>
        </is>
      </c>
      <c r="B71" s="22" t="n">
        <v>45681</v>
      </c>
      <c r="C71" s="21" t="inlineStr">
        <is>
          <t>R03</t>
        </is>
      </c>
      <c r="D71" s="21" t="inlineStr">
        <is>
          <t>P400</t>
        </is>
      </c>
      <c r="E71" s="21" t="n">
        <v>23</v>
      </c>
      <c r="F71" s="23" t="n">
        <v>0</v>
      </c>
      <c r="G71" s="24">
        <f>TEXT(B71,"mmm")</f>
        <v/>
      </c>
      <c r="H71" s="24">
        <f>HLOOKUP(C71,Lookups!$H$4:$K$5,2,FALSE)</f>
        <v/>
      </c>
      <c r="I71" s="24">
        <f>VLOOKUP(D71,Lookups!$A$5:$E$10,2,FALSE)</f>
        <v/>
      </c>
      <c r="J71" s="24">
        <f>VLOOKUP(D71,Lookups!$A$5:$E$10,3,FALSE)</f>
        <v/>
      </c>
      <c r="K71" s="25">
        <f>VLOOKUP(D71,Lookups!$A$5:$E$10,4,FALSE)</f>
        <v/>
      </c>
      <c r="L71" s="25">
        <f>E71*K71*(1-F71)</f>
        <v/>
      </c>
      <c r="M71" s="25">
        <f>L71*VLOOKUP(D71,Lookups!$A$5:$E$10,5,FALSE)</f>
        <v/>
      </c>
    </row>
    <row r="72">
      <c r="A72" s="21" t="inlineStr">
        <is>
          <t>INV-10883</t>
        </is>
      </c>
      <c r="B72" s="22" t="n">
        <v>45681</v>
      </c>
      <c r="C72" s="21" t="inlineStr">
        <is>
          <t>R04</t>
        </is>
      </c>
      <c r="D72" s="21" t="inlineStr">
        <is>
          <t>P200</t>
        </is>
      </c>
      <c r="E72" s="21" t="n">
        <v>5</v>
      </c>
      <c r="F72" s="23" t="n">
        <v>0.1</v>
      </c>
      <c r="G72" s="24">
        <f>TEXT(B72,"mmm")</f>
        <v/>
      </c>
      <c r="H72" s="24">
        <f>HLOOKUP(C72,Lookups!$H$4:$K$5,2,FALSE)</f>
        <v/>
      </c>
      <c r="I72" s="24">
        <f>VLOOKUP(D72,Lookups!$A$5:$E$10,2,FALSE)</f>
        <v/>
      </c>
      <c r="J72" s="24">
        <f>VLOOKUP(D72,Lookups!$A$5:$E$10,3,FALSE)</f>
        <v/>
      </c>
      <c r="K72" s="25">
        <f>VLOOKUP(D72,Lookups!$A$5:$E$10,4,FALSE)</f>
        <v/>
      </c>
      <c r="L72" s="25">
        <f>E72*K72*(1-F72)</f>
        <v/>
      </c>
      <c r="M72" s="25">
        <f>L72*VLOOKUP(D72,Lookups!$A$5:$E$10,5,FALSE)</f>
        <v/>
      </c>
    </row>
    <row r="73">
      <c r="A73" s="21" t="inlineStr">
        <is>
          <t>INV-10108</t>
        </is>
      </c>
      <c r="B73" s="22" t="n">
        <v>45683</v>
      </c>
      <c r="C73" s="21" t="inlineStr">
        <is>
          <t>R02</t>
        </is>
      </c>
      <c r="D73" s="21" t="inlineStr">
        <is>
          <t>P500</t>
        </is>
      </c>
      <c r="E73" s="21" t="n">
        <v>4</v>
      </c>
      <c r="F73" s="23" t="n">
        <v>0.1</v>
      </c>
      <c r="G73" s="24">
        <f>TEXT(B73,"mmm")</f>
        <v/>
      </c>
      <c r="H73" s="24">
        <f>HLOOKUP(C73,Lookups!$H$4:$K$5,2,FALSE)</f>
        <v/>
      </c>
      <c r="I73" s="24">
        <f>VLOOKUP(D73,Lookups!$A$5:$E$10,2,FALSE)</f>
        <v/>
      </c>
      <c r="J73" s="24">
        <f>VLOOKUP(D73,Lookups!$A$5:$E$10,3,FALSE)</f>
        <v/>
      </c>
      <c r="K73" s="25">
        <f>VLOOKUP(D73,Lookups!$A$5:$E$10,4,FALSE)</f>
        <v/>
      </c>
      <c r="L73" s="25">
        <f>E73*K73*(1-F73)</f>
        <v/>
      </c>
      <c r="M73" s="25">
        <f>L73*VLOOKUP(D73,Lookups!$A$5:$E$10,5,FALSE)</f>
        <v/>
      </c>
    </row>
    <row r="74">
      <c r="A74" s="21" t="inlineStr">
        <is>
          <t>INV-10756</t>
        </is>
      </c>
      <c r="B74" s="22" t="n">
        <v>45683</v>
      </c>
      <c r="C74" s="21" t="inlineStr">
        <is>
          <t>R04</t>
        </is>
      </c>
      <c r="D74" s="21" t="inlineStr">
        <is>
          <t>P400</t>
        </is>
      </c>
      <c r="E74" s="21" t="n">
        <v>5</v>
      </c>
      <c r="F74" s="23" t="n">
        <v>0</v>
      </c>
      <c r="G74" s="24">
        <f>TEXT(B74,"mmm")</f>
        <v/>
      </c>
      <c r="H74" s="24">
        <f>HLOOKUP(C74,Lookups!$H$4:$K$5,2,FALSE)</f>
        <v/>
      </c>
      <c r="I74" s="24">
        <f>VLOOKUP(D74,Lookups!$A$5:$E$10,2,FALSE)</f>
        <v/>
      </c>
      <c r="J74" s="24">
        <f>VLOOKUP(D74,Lookups!$A$5:$E$10,3,FALSE)</f>
        <v/>
      </c>
      <c r="K74" s="25">
        <f>VLOOKUP(D74,Lookups!$A$5:$E$10,4,FALSE)</f>
        <v/>
      </c>
      <c r="L74" s="25">
        <f>E74*K74*(1-F74)</f>
        <v/>
      </c>
      <c r="M74" s="25">
        <f>L74*VLOOKUP(D74,Lookups!$A$5:$E$10,5,FALSE)</f>
        <v/>
      </c>
    </row>
    <row r="75">
      <c r="A75" s="21" t="inlineStr">
        <is>
          <t>INV-10782</t>
        </is>
      </c>
      <c r="B75" s="22" t="n">
        <v>45683</v>
      </c>
      <c r="C75" s="21" t="inlineStr">
        <is>
          <t>R04</t>
        </is>
      </c>
      <c r="D75" s="21" t="inlineStr">
        <is>
          <t>P600</t>
        </is>
      </c>
      <c r="E75" s="21" t="n">
        <v>9</v>
      </c>
      <c r="F75" s="23" t="n">
        <v>0.05</v>
      </c>
      <c r="G75" s="24">
        <f>TEXT(B75,"mmm")</f>
        <v/>
      </c>
      <c r="H75" s="24">
        <f>HLOOKUP(C75,Lookups!$H$4:$K$5,2,FALSE)</f>
        <v/>
      </c>
      <c r="I75" s="24">
        <f>VLOOKUP(D75,Lookups!$A$5:$E$10,2,FALSE)</f>
        <v/>
      </c>
      <c r="J75" s="24">
        <f>VLOOKUP(D75,Lookups!$A$5:$E$10,3,FALSE)</f>
        <v/>
      </c>
      <c r="K75" s="25">
        <f>VLOOKUP(D75,Lookups!$A$5:$E$10,4,FALSE)</f>
        <v/>
      </c>
      <c r="L75" s="25">
        <f>E75*K75*(1-F75)</f>
        <v/>
      </c>
      <c r="M75" s="25">
        <f>L75*VLOOKUP(D75,Lookups!$A$5:$E$10,5,FALSE)</f>
        <v/>
      </c>
    </row>
    <row r="76">
      <c r="A76" s="21" t="inlineStr">
        <is>
          <t>INV-10276</t>
        </is>
      </c>
      <c r="B76" s="22" t="n">
        <v>45684</v>
      </c>
      <c r="C76" s="21" t="inlineStr">
        <is>
          <t>R03</t>
        </is>
      </c>
      <c r="D76" s="21" t="inlineStr">
        <is>
          <t>P300</t>
        </is>
      </c>
      <c r="E76" s="21" t="n">
        <v>12</v>
      </c>
      <c r="F76" s="23" t="n">
        <v>0</v>
      </c>
      <c r="G76" s="24">
        <f>TEXT(B76,"mmm")</f>
        <v/>
      </c>
      <c r="H76" s="24">
        <f>HLOOKUP(C76,Lookups!$H$4:$K$5,2,FALSE)</f>
        <v/>
      </c>
      <c r="I76" s="24">
        <f>VLOOKUP(D76,Lookups!$A$5:$E$10,2,FALSE)</f>
        <v/>
      </c>
      <c r="J76" s="24">
        <f>VLOOKUP(D76,Lookups!$A$5:$E$10,3,FALSE)</f>
        <v/>
      </c>
      <c r="K76" s="25">
        <f>VLOOKUP(D76,Lookups!$A$5:$E$10,4,FALSE)</f>
        <v/>
      </c>
      <c r="L76" s="25">
        <f>E76*K76*(1-F76)</f>
        <v/>
      </c>
      <c r="M76" s="25">
        <f>L76*VLOOKUP(D76,Lookups!$A$5:$E$10,5,FALSE)</f>
        <v/>
      </c>
    </row>
    <row r="77">
      <c r="A77" s="21" t="inlineStr">
        <is>
          <t>INV-10286</t>
        </is>
      </c>
      <c r="B77" s="22" t="n">
        <v>45684</v>
      </c>
      <c r="C77" s="21" t="inlineStr">
        <is>
          <t>R02</t>
        </is>
      </c>
      <c r="D77" s="21" t="inlineStr">
        <is>
          <t>P200</t>
        </is>
      </c>
      <c r="E77" s="21" t="n">
        <v>25</v>
      </c>
      <c r="F77" s="23" t="n">
        <v>0</v>
      </c>
      <c r="G77" s="24">
        <f>TEXT(B77,"mmm")</f>
        <v/>
      </c>
      <c r="H77" s="24">
        <f>HLOOKUP(C77,Lookups!$H$4:$K$5,2,FALSE)</f>
        <v/>
      </c>
      <c r="I77" s="24">
        <f>VLOOKUP(D77,Lookups!$A$5:$E$10,2,FALSE)</f>
        <v/>
      </c>
      <c r="J77" s="24">
        <f>VLOOKUP(D77,Lookups!$A$5:$E$10,3,FALSE)</f>
        <v/>
      </c>
      <c r="K77" s="25">
        <f>VLOOKUP(D77,Lookups!$A$5:$E$10,4,FALSE)</f>
        <v/>
      </c>
      <c r="L77" s="25">
        <f>E77*K77*(1-F77)</f>
        <v/>
      </c>
      <c r="M77" s="25">
        <f>L77*VLOOKUP(D77,Lookups!$A$5:$E$10,5,FALSE)</f>
        <v/>
      </c>
    </row>
    <row r="78">
      <c r="A78" s="21" t="inlineStr">
        <is>
          <t>INV-10432</t>
        </is>
      </c>
      <c r="B78" s="22" t="n">
        <v>45684</v>
      </c>
      <c r="C78" s="21" t="inlineStr">
        <is>
          <t>R04</t>
        </is>
      </c>
      <c r="D78" s="21" t="inlineStr">
        <is>
          <t>P500</t>
        </is>
      </c>
      <c r="E78" s="21" t="n">
        <v>6</v>
      </c>
      <c r="F78" s="23" t="n">
        <v>0.1</v>
      </c>
      <c r="G78" s="24">
        <f>TEXT(B78,"mmm")</f>
        <v/>
      </c>
      <c r="H78" s="24">
        <f>HLOOKUP(C78,Lookups!$H$4:$K$5,2,FALSE)</f>
        <v/>
      </c>
      <c r="I78" s="24">
        <f>VLOOKUP(D78,Lookups!$A$5:$E$10,2,FALSE)</f>
        <v/>
      </c>
      <c r="J78" s="24">
        <f>VLOOKUP(D78,Lookups!$A$5:$E$10,3,FALSE)</f>
        <v/>
      </c>
      <c r="K78" s="25">
        <f>VLOOKUP(D78,Lookups!$A$5:$E$10,4,FALSE)</f>
        <v/>
      </c>
      <c r="L78" s="25">
        <f>E78*K78*(1-F78)</f>
        <v/>
      </c>
      <c r="M78" s="25">
        <f>L78*VLOOKUP(D78,Lookups!$A$5:$E$10,5,FALSE)</f>
        <v/>
      </c>
    </row>
    <row r="79">
      <c r="A79" s="21" t="inlineStr">
        <is>
          <t>INV-10450</t>
        </is>
      </c>
      <c r="B79" s="22" t="n">
        <v>45684</v>
      </c>
      <c r="C79" s="21" t="inlineStr">
        <is>
          <t>R04</t>
        </is>
      </c>
      <c r="D79" s="21" t="inlineStr">
        <is>
          <t>P100</t>
        </is>
      </c>
      <c r="E79" s="21" t="n">
        <v>11</v>
      </c>
      <c r="F79" s="23" t="n">
        <v>0.1</v>
      </c>
      <c r="G79" s="24">
        <f>TEXT(B79,"mmm")</f>
        <v/>
      </c>
      <c r="H79" s="24">
        <f>HLOOKUP(C79,Lookups!$H$4:$K$5,2,FALSE)</f>
        <v/>
      </c>
      <c r="I79" s="24">
        <f>VLOOKUP(D79,Lookups!$A$5:$E$10,2,FALSE)</f>
        <v/>
      </c>
      <c r="J79" s="24">
        <f>VLOOKUP(D79,Lookups!$A$5:$E$10,3,FALSE)</f>
        <v/>
      </c>
      <c r="K79" s="25">
        <f>VLOOKUP(D79,Lookups!$A$5:$E$10,4,FALSE)</f>
        <v/>
      </c>
      <c r="L79" s="25">
        <f>E79*K79*(1-F79)</f>
        <v/>
      </c>
      <c r="M79" s="25">
        <f>L79*VLOOKUP(D79,Lookups!$A$5:$E$10,5,FALSE)</f>
        <v/>
      </c>
    </row>
    <row r="80">
      <c r="A80" s="21" t="inlineStr">
        <is>
          <t>INV-11178</t>
        </is>
      </c>
      <c r="B80" s="22" t="n">
        <v>45685</v>
      </c>
      <c r="C80" s="21" t="inlineStr">
        <is>
          <t>R01</t>
        </is>
      </c>
      <c r="D80" s="21" t="inlineStr">
        <is>
          <t>P400</t>
        </is>
      </c>
      <c r="E80" s="21" t="n">
        <v>3</v>
      </c>
      <c r="F80" s="23" t="n">
        <v>0.1</v>
      </c>
      <c r="G80" s="24">
        <f>TEXT(B80,"mmm")</f>
        <v/>
      </c>
      <c r="H80" s="24">
        <f>HLOOKUP(C80,Lookups!$H$4:$K$5,2,FALSE)</f>
        <v/>
      </c>
      <c r="I80" s="24">
        <f>VLOOKUP(D80,Lookups!$A$5:$E$10,2,FALSE)</f>
        <v/>
      </c>
      <c r="J80" s="24">
        <f>VLOOKUP(D80,Lookups!$A$5:$E$10,3,FALSE)</f>
        <v/>
      </c>
      <c r="K80" s="25">
        <f>VLOOKUP(D80,Lookups!$A$5:$E$10,4,FALSE)</f>
        <v/>
      </c>
      <c r="L80" s="25">
        <f>E80*K80*(1-F80)</f>
        <v/>
      </c>
      <c r="M80" s="25">
        <f>L80*VLOOKUP(D80,Lookups!$A$5:$E$10,5,FALSE)</f>
        <v/>
      </c>
    </row>
    <row r="81">
      <c r="A81" s="21" t="inlineStr">
        <is>
          <t>INV-10216</t>
        </is>
      </c>
      <c r="B81" s="22" t="n">
        <v>45686</v>
      </c>
      <c r="C81" s="21" t="inlineStr">
        <is>
          <t>R03</t>
        </is>
      </c>
      <c r="D81" s="21" t="inlineStr">
        <is>
          <t>P300</t>
        </is>
      </c>
      <c r="E81" s="21" t="n">
        <v>12</v>
      </c>
      <c r="F81" s="23" t="n">
        <v>0.1</v>
      </c>
      <c r="G81" s="24">
        <f>TEXT(B81,"mmm")</f>
        <v/>
      </c>
      <c r="H81" s="24">
        <f>HLOOKUP(C81,Lookups!$H$4:$K$5,2,FALSE)</f>
        <v/>
      </c>
      <c r="I81" s="24">
        <f>VLOOKUP(D81,Lookups!$A$5:$E$10,2,FALSE)</f>
        <v/>
      </c>
      <c r="J81" s="24">
        <f>VLOOKUP(D81,Lookups!$A$5:$E$10,3,FALSE)</f>
        <v/>
      </c>
      <c r="K81" s="25">
        <f>VLOOKUP(D81,Lookups!$A$5:$E$10,4,FALSE)</f>
        <v/>
      </c>
      <c r="L81" s="25">
        <f>E81*K81*(1-F81)</f>
        <v/>
      </c>
      <c r="M81" s="25">
        <f>L81*VLOOKUP(D81,Lookups!$A$5:$E$10,5,FALSE)</f>
        <v/>
      </c>
    </row>
    <row r="82">
      <c r="A82" s="21" t="inlineStr">
        <is>
          <t>INV-10478</t>
        </is>
      </c>
      <c r="B82" s="22" t="n">
        <v>45686</v>
      </c>
      <c r="C82" s="21" t="inlineStr">
        <is>
          <t>R02</t>
        </is>
      </c>
      <c r="D82" s="21" t="inlineStr">
        <is>
          <t>P400</t>
        </is>
      </c>
      <c r="E82" s="21" t="n">
        <v>17</v>
      </c>
      <c r="F82" s="23" t="n">
        <v>0.1</v>
      </c>
      <c r="G82" s="24">
        <f>TEXT(B82,"mmm")</f>
        <v/>
      </c>
      <c r="H82" s="24">
        <f>HLOOKUP(C82,Lookups!$H$4:$K$5,2,FALSE)</f>
        <v/>
      </c>
      <c r="I82" s="24">
        <f>VLOOKUP(D82,Lookups!$A$5:$E$10,2,FALSE)</f>
        <v/>
      </c>
      <c r="J82" s="24">
        <f>VLOOKUP(D82,Lookups!$A$5:$E$10,3,FALSE)</f>
        <v/>
      </c>
      <c r="K82" s="25">
        <f>VLOOKUP(D82,Lookups!$A$5:$E$10,4,FALSE)</f>
        <v/>
      </c>
      <c r="L82" s="25">
        <f>E82*K82*(1-F82)</f>
        <v/>
      </c>
      <c r="M82" s="25">
        <f>L82*VLOOKUP(D82,Lookups!$A$5:$E$10,5,FALSE)</f>
        <v/>
      </c>
    </row>
    <row r="83">
      <c r="A83" s="21" t="inlineStr">
        <is>
          <t>INV-10982</t>
        </is>
      </c>
      <c r="B83" s="22" t="n">
        <v>45686</v>
      </c>
      <c r="C83" s="21" t="inlineStr">
        <is>
          <t>R03</t>
        </is>
      </c>
      <c r="D83" s="21" t="inlineStr">
        <is>
          <t>P200</t>
        </is>
      </c>
      <c r="E83" s="21" t="n">
        <v>6</v>
      </c>
      <c r="F83" s="23" t="n">
        <v>0.1</v>
      </c>
      <c r="G83" s="24">
        <f>TEXT(B83,"mmm")</f>
        <v/>
      </c>
      <c r="H83" s="24">
        <f>HLOOKUP(C83,Lookups!$H$4:$K$5,2,FALSE)</f>
        <v/>
      </c>
      <c r="I83" s="24">
        <f>VLOOKUP(D83,Lookups!$A$5:$E$10,2,FALSE)</f>
        <v/>
      </c>
      <c r="J83" s="24">
        <f>VLOOKUP(D83,Lookups!$A$5:$E$10,3,FALSE)</f>
        <v/>
      </c>
      <c r="K83" s="25">
        <f>VLOOKUP(D83,Lookups!$A$5:$E$10,4,FALSE)</f>
        <v/>
      </c>
      <c r="L83" s="25">
        <f>E83*K83*(1-F83)</f>
        <v/>
      </c>
      <c r="M83" s="25">
        <f>L83*VLOOKUP(D83,Lookups!$A$5:$E$10,5,FALSE)</f>
        <v/>
      </c>
    </row>
    <row r="84">
      <c r="A84" s="21" t="inlineStr">
        <is>
          <t>INV-11096</t>
        </is>
      </c>
      <c r="B84" s="22" t="n">
        <v>45686</v>
      </c>
      <c r="C84" s="21" t="inlineStr">
        <is>
          <t>R04</t>
        </is>
      </c>
      <c r="D84" s="21" t="inlineStr">
        <is>
          <t>P300</t>
        </is>
      </c>
      <c r="E84" s="21" t="n">
        <v>3</v>
      </c>
      <c r="F84" s="23" t="n">
        <v>0.1</v>
      </c>
      <c r="G84" s="24">
        <f>TEXT(B84,"mmm")</f>
        <v/>
      </c>
      <c r="H84" s="24">
        <f>HLOOKUP(C84,Lookups!$H$4:$K$5,2,FALSE)</f>
        <v/>
      </c>
      <c r="I84" s="24">
        <f>VLOOKUP(D84,Lookups!$A$5:$E$10,2,FALSE)</f>
        <v/>
      </c>
      <c r="J84" s="24">
        <f>VLOOKUP(D84,Lookups!$A$5:$E$10,3,FALSE)</f>
        <v/>
      </c>
      <c r="K84" s="25">
        <f>VLOOKUP(D84,Lookups!$A$5:$E$10,4,FALSE)</f>
        <v/>
      </c>
      <c r="L84" s="25">
        <f>E84*K84*(1-F84)</f>
        <v/>
      </c>
      <c r="M84" s="25">
        <f>L84*VLOOKUP(D84,Lookups!$A$5:$E$10,5,FALSE)</f>
        <v/>
      </c>
    </row>
    <row r="85">
      <c r="A85" s="21" t="inlineStr">
        <is>
          <t>INV-10665</t>
        </is>
      </c>
      <c r="B85" s="22" t="n">
        <v>45687</v>
      </c>
      <c r="C85" s="21" t="inlineStr">
        <is>
          <t>R01</t>
        </is>
      </c>
      <c r="D85" s="21" t="inlineStr">
        <is>
          <t>P200</t>
        </is>
      </c>
      <c r="E85" s="21" t="n">
        <v>14</v>
      </c>
      <c r="F85" s="23" t="n">
        <v>0</v>
      </c>
      <c r="G85" s="24">
        <f>TEXT(B85,"mmm")</f>
        <v/>
      </c>
      <c r="H85" s="24">
        <f>HLOOKUP(C85,Lookups!$H$4:$K$5,2,FALSE)</f>
        <v/>
      </c>
      <c r="I85" s="24">
        <f>VLOOKUP(D85,Lookups!$A$5:$E$10,2,FALSE)</f>
        <v/>
      </c>
      <c r="J85" s="24">
        <f>VLOOKUP(D85,Lookups!$A$5:$E$10,3,FALSE)</f>
        <v/>
      </c>
      <c r="K85" s="25">
        <f>VLOOKUP(D85,Lookups!$A$5:$E$10,4,FALSE)</f>
        <v/>
      </c>
      <c r="L85" s="25">
        <f>E85*K85*(1-F85)</f>
        <v/>
      </c>
      <c r="M85" s="25">
        <f>L85*VLOOKUP(D85,Lookups!$A$5:$E$10,5,FALSE)</f>
        <v/>
      </c>
    </row>
    <row r="86">
      <c r="A86" s="21" t="inlineStr">
        <is>
          <t>INV-10689</t>
        </is>
      </c>
      <c r="B86" s="22" t="n">
        <v>45688</v>
      </c>
      <c r="C86" s="21" t="inlineStr">
        <is>
          <t>R03</t>
        </is>
      </c>
      <c r="D86" s="21" t="inlineStr">
        <is>
          <t>P200</t>
        </is>
      </c>
      <c r="E86" s="21" t="n">
        <v>3</v>
      </c>
      <c r="F86" s="23" t="n">
        <v>0</v>
      </c>
      <c r="G86" s="24">
        <f>TEXT(B86,"mmm")</f>
        <v/>
      </c>
      <c r="H86" s="24">
        <f>HLOOKUP(C86,Lookups!$H$4:$K$5,2,FALSE)</f>
        <v/>
      </c>
      <c r="I86" s="24">
        <f>VLOOKUP(D86,Lookups!$A$5:$E$10,2,FALSE)</f>
        <v/>
      </c>
      <c r="J86" s="24">
        <f>VLOOKUP(D86,Lookups!$A$5:$E$10,3,FALSE)</f>
        <v/>
      </c>
      <c r="K86" s="25">
        <f>VLOOKUP(D86,Lookups!$A$5:$E$10,4,FALSE)</f>
        <v/>
      </c>
      <c r="L86" s="25">
        <f>E86*K86*(1-F86)</f>
        <v/>
      </c>
      <c r="M86" s="25">
        <f>L86*VLOOKUP(D86,Lookups!$A$5:$E$10,5,FALSE)</f>
        <v/>
      </c>
    </row>
    <row r="87">
      <c r="A87" s="21" t="inlineStr">
        <is>
          <t>INV-11177</t>
        </is>
      </c>
      <c r="B87" s="22" t="n">
        <v>45688</v>
      </c>
      <c r="C87" s="21" t="inlineStr">
        <is>
          <t>R02</t>
        </is>
      </c>
      <c r="D87" s="21" t="inlineStr">
        <is>
          <t>P300</t>
        </is>
      </c>
      <c r="E87" s="21" t="n">
        <v>23</v>
      </c>
      <c r="F87" s="23" t="n">
        <v>0.05</v>
      </c>
      <c r="G87" s="24">
        <f>TEXT(B87,"mmm")</f>
        <v/>
      </c>
      <c r="H87" s="24">
        <f>HLOOKUP(C87,Lookups!$H$4:$K$5,2,FALSE)</f>
        <v/>
      </c>
      <c r="I87" s="24">
        <f>VLOOKUP(D87,Lookups!$A$5:$E$10,2,FALSE)</f>
        <v/>
      </c>
      <c r="J87" s="24">
        <f>VLOOKUP(D87,Lookups!$A$5:$E$10,3,FALSE)</f>
        <v/>
      </c>
      <c r="K87" s="25">
        <f>VLOOKUP(D87,Lookups!$A$5:$E$10,4,FALSE)</f>
        <v/>
      </c>
      <c r="L87" s="25">
        <f>E87*K87*(1-F87)</f>
        <v/>
      </c>
      <c r="M87" s="25">
        <f>L87*VLOOKUP(D87,Lookups!$A$5:$E$10,5,FALSE)</f>
        <v/>
      </c>
    </row>
    <row r="88">
      <c r="A88" s="21" t="inlineStr">
        <is>
          <t>INV-10263</t>
        </is>
      </c>
      <c r="B88" s="22" t="n">
        <v>45689</v>
      </c>
      <c r="C88" s="21" t="inlineStr">
        <is>
          <t>R04</t>
        </is>
      </c>
      <c r="D88" s="21" t="inlineStr">
        <is>
          <t>P400</t>
        </is>
      </c>
      <c r="E88" s="21" t="n">
        <v>14</v>
      </c>
      <c r="F88" s="23" t="n">
        <v>0</v>
      </c>
      <c r="G88" s="24">
        <f>TEXT(B88,"mmm")</f>
        <v/>
      </c>
      <c r="H88" s="24">
        <f>HLOOKUP(C88,Lookups!$H$4:$K$5,2,FALSE)</f>
        <v/>
      </c>
      <c r="I88" s="24">
        <f>VLOOKUP(D88,Lookups!$A$5:$E$10,2,FALSE)</f>
        <v/>
      </c>
      <c r="J88" s="24">
        <f>VLOOKUP(D88,Lookups!$A$5:$E$10,3,FALSE)</f>
        <v/>
      </c>
      <c r="K88" s="25">
        <f>VLOOKUP(D88,Lookups!$A$5:$E$10,4,FALSE)</f>
        <v/>
      </c>
      <c r="L88" s="25">
        <f>E88*K88*(1-F88)</f>
        <v/>
      </c>
      <c r="M88" s="25">
        <f>L88*VLOOKUP(D88,Lookups!$A$5:$E$10,5,FALSE)</f>
        <v/>
      </c>
    </row>
    <row r="89">
      <c r="A89" s="21" t="inlineStr">
        <is>
          <t>INV-10315</t>
        </is>
      </c>
      <c r="B89" s="22" t="n">
        <v>45689</v>
      </c>
      <c r="C89" s="21" t="inlineStr">
        <is>
          <t>R01</t>
        </is>
      </c>
      <c r="D89" s="21" t="inlineStr">
        <is>
          <t>P400</t>
        </is>
      </c>
      <c r="E89" s="21" t="n">
        <v>11</v>
      </c>
      <c r="F89" s="23" t="n">
        <v>0</v>
      </c>
      <c r="G89" s="24">
        <f>TEXT(B89,"mmm")</f>
        <v/>
      </c>
      <c r="H89" s="24">
        <f>HLOOKUP(C89,Lookups!$H$4:$K$5,2,FALSE)</f>
        <v/>
      </c>
      <c r="I89" s="24">
        <f>VLOOKUP(D89,Lookups!$A$5:$E$10,2,FALSE)</f>
        <v/>
      </c>
      <c r="J89" s="24">
        <f>VLOOKUP(D89,Lookups!$A$5:$E$10,3,FALSE)</f>
        <v/>
      </c>
      <c r="K89" s="25">
        <f>VLOOKUP(D89,Lookups!$A$5:$E$10,4,FALSE)</f>
        <v/>
      </c>
      <c r="L89" s="25">
        <f>E89*K89*(1-F89)</f>
        <v/>
      </c>
      <c r="M89" s="25">
        <f>L89*VLOOKUP(D89,Lookups!$A$5:$E$10,5,FALSE)</f>
        <v/>
      </c>
    </row>
    <row r="90">
      <c r="A90" s="21" t="inlineStr">
        <is>
          <t>INV-10436</t>
        </is>
      </c>
      <c r="B90" s="22" t="n">
        <v>45689</v>
      </c>
      <c r="C90" s="21" t="inlineStr">
        <is>
          <t>R02</t>
        </is>
      </c>
      <c r="D90" s="21" t="inlineStr">
        <is>
          <t>P600</t>
        </is>
      </c>
      <c r="E90" s="21" t="n">
        <v>17</v>
      </c>
      <c r="F90" s="23" t="n">
        <v>0</v>
      </c>
      <c r="G90" s="24">
        <f>TEXT(B90,"mmm")</f>
        <v/>
      </c>
      <c r="H90" s="24">
        <f>HLOOKUP(C90,Lookups!$H$4:$K$5,2,FALSE)</f>
        <v/>
      </c>
      <c r="I90" s="24">
        <f>VLOOKUP(D90,Lookups!$A$5:$E$10,2,FALSE)</f>
        <v/>
      </c>
      <c r="J90" s="24">
        <f>VLOOKUP(D90,Lookups!$A$5:$E$10,3,FALSE)</f>
        <v/>
      </c>
      <c r="K90" s="25">
        <f>VLOOKUP(D90,Lookups!$A$5:$E$10,4,FALSE)</f>
        <v/>
      </c>
      <c r="L90" s="25">
        <f>E90*K90*(1-F90)</f>
        <v/>
      </c>
      <c r="M90" s="25">
        <f>L90*VLOOKUP(D90,Lookups!$A$5:$E$10,5,FALSE)</f>
        <v/>
      </c>
    </row>
    <row r="91">
      <c r="A91" s="21" t="inlineStr">
        <is>
          <t>INV-10475</t>
        </is>
      </c>
      <c r="B91" s="22" t="n">
        <v>45689</v>
      </c>
      <c r="C91" s="21" t="inlineStr">
        <is>
          <t>R02</t>
        </is>
      </c>
      <c r="D91" s="21" t="inlineStr">
        <is>
          <t>P500</t>
        </is>
      </c>
      <c r="E91" s="21" t="n">
        <v>19</v>
      </c>
      <c r="F91" s="23" t="n">
        <v>0</v>
      </c>
      <c r="G91" s="24">
        <f>TEXT(B91,"mmm")</f>
        <v/>
      </c>
      <c r="H91" s="24">
        <f>HLOOKUP(C91,Lookups!$H$4:$K$5,2,FALSE)</f>
        <v/>
      </c>
      <c r="I91" s="24">
        <f>VLOOKUP(D91,Lookups!$A$5:$E$10,2,FALSE)</f>
        <v/>
      </c>
      <c r="J91" s="24">
        <f>VLOOKUP(D91,Lookups!$A$5:$E$10,3,FALSE)</f>
        <v/>
      </c>
      <c r="K91" s="25">
        <f>VLOOKUP(D91,Lookups!$A$5:$E$10,4,FALSE)</f>
        <v/>
      </c>
      <c r="L91" s="25">
        <f>E91*K91*(1-F91)</f>
        <v/>
      </c>
      <c r="M91" s="25">
        <f>L91*VLOOKUP(D91,Lookups!$A$5:$E$10,5,FALSE)</f>
        <v/>
      </c>
    </row>
    <row r="92">
      <c r="A92" s="21" t="inlineStr">
        <is>
          <t>INV-10715</t>
        </is>
      </c>
      <c r="B92" s="22" t="n">
        <v>45689</v>
      </c>
      <c r="C92" s="21" t="inlineStr">
        <is>
          <t>R03</t>
        </is>
      </c>
      <c r="D92" s="21" t="inlineStr">
        <is>
          <t>P100</t>
        </is>
      </c>
      <c r="E92" s="21" t="n">
        <v>13</v>
      </c>
      <c r="F92" s="23" t="n">
        <v>0</v>
      </c>
      <c r="G92" s="24">
        <f>TEXT(B92,"mmm")</f>
        <v/>
      </c>
      <c r="H92" s="24">
        <f>HLOOKUP(C92,Lookups!$H$4:$K$5,2,FALSE)</f>
        <v/>
      </c>
      <c r="I92" s="24">
        <f>VLOOKUP(D92,Lookups!$A$5:$E$10,2,FALSE)</f>
        <v/>
      </c>
      <c r="J92" s="24">
        <f>VLOOKUP(D92,Lookups!$A$5:$E$10,3,FALSE)</f>
        <v/>
      </c>
      <c r="K92" s="25">
        <f>VLOOKUP(D92,Lookups!$A$5:$E$10,4,FALSE)</f>
        <v/>
      </c>
      <c r="L92" s="25">
        <f>E92*K92*(1-F92)</f>
        <v/>
      </c>
      <c r="M92" s="25">
        <f>L92*VLOOKUP(D92,Lookups!$A$5:$E$10,5,FALSE)</f>
        <v/>
      </c>
    </row>
    <row r="93">
      <c r="A93" s="21" t="inlineStr">
        <is>
          <t>INV-11187</t>
        </is>
      </c>
      <c r="B93" s="22" t="n">
        <v>45689</v>
      </c>
      <c r="C93" s="21" t="inlineStr">
        <is>
          <t>R03</t>
        </is>
      </c>
      <c r="D93" s="21" t="inlineStr">
        <is>
          <t>P600</t>
        </is>
      </c>
      <c r="E93" s="21" t="n">
        <v>13</v>
      </c>
      <c r="F93" s="23" t="n">
        <v>0</v>
      </c>
      <c r="G93" s="24">
        <f>TEXT(B93,"mmm")</f>
        <v/>
      </c>
      <c r="H93" s="24">
        <f>HLOOKUP(C93,Lookups!$H$4:$K$5,2,FALSE)</f>
        <v/>
      </c>
      <c r="I93" s="24">
        <f>VLOOKUP(D93,Lookups!$A$5:$E$10,2,FALSE)</f>
        <v/>
      </c>
      <c r="J93" s="24">
        <f>VLOOKUP(D93,Lookups!$A$5:$E$10,3,FALSE)</f>
        <v/>
      </c>
      <c r="K93" s="25">
        <f>VLOOKUP(D93,Lookups!$A$5:$E$10,4,FALSE)</f>
        <v/>
      </c>
      <c r="L93" s="25">
        <f>E93*K93*(1-F93)</f>
        <v/>
      </c>
      <c r="M93" s="25">
        <f>L93*VLOOKUP(D93,Lookups!$A$5:$E$10,5,FALSE)</f>
        <v/>
      </c>
    </row>
    <row r="94">
      <c r="A94" s="21" t="inlineStr">
        <is>
          <t>INV-10117</t>
        </is>
      </c>
      <c r="B94" s="22" t="n">
        <v>45690</v>
      </c>
      <c r="C94" s="21" t="inlineStr">
        <is>
          <t>R04</t>
        </is>
      </c>
      <c r="D94" s="21" t="inlineStr">
        <is>
          <t>P400</t>
        </is>
      </c>
      <c r="E94" s="21" t="n">
        <v>11</v>
      </c>
      <c r="F94" s="23" t="n">
        <v>0.1</v>
      </c>
      <c r="G94" s="24">
        <f>TEXT(B94,"mmm")</f>
        <v/>
      </c>
      <c r="H94" s="24">
        <f>HLOOKUP(C94,Lookups!$H$4:$K$5,2,FALSE)</f>
        <v/>
      </c>
      <c r="I94" s="24">
        <f>VLOOKUP(D94,Lookups!$A$5:$E$10,2,FALSE)</f>
        <v/>
      </c>
      <c r="J94" s="24">
        <f>VLOOKUP(D94,Lookups!$A$5:$E$10,3,FALSE)</f>
        <v/>
      </c>
      <c r="K94" s="25">
        <f>VLOOKUP(D94,Lookups!$A$5:$E$10,4,FALSE)</f>
        <v/>
      </c>
      <c r="L94" s="25">
        <f>E94*K94*(1-F94)</f>
        <v/>
      </c>
      <c r="M94" s="25">
        <f>L94*VLOOKUP(D94,Lookups!$A$5:$E$10,5,FALSE)</f>
        <v/>
      </c>
    </row>
    <row r="95">
      <c r="A95" s="21" t="inlineStr">
        <is>
          <t>INV-10630</t>
        </is>
      </c>
      <c r="B95" s="22" t="n">
        <v>45690</v>
      </c>
      <c r="C95" s="21" t="inlineStr">
        <is>
          <t>R04</t>
        </is>
      </c>
      <c r="D95" s="21" t="inlineStr">
        <is>
          <t>P500</t>
        </is>
      </c>
      <c r="E95" s="21" t="n">
        <v>7</v>
      </c>
      <c r="F95" s="23" t="n">
        <v>0.1</v>
      </c>
      <c r="G95" s="24">
        <f>TEXT(B95,"mmm")</f>
        <v/>
      </c>
      <c r="H95" s="24">
        <f>HLOOKUP(C95,Lookups!$H$4:$K$5,2,FALSE)</f>
        <v/>
      </c>
      <c r="I95" s="24">
        <f>VLOOKUP(D95,Lookups!$A$5:$E$10,2,FALSE)</f>
        <v/>
      </c>
      <c r="J95" s="24">
        <f>VLOOKUP(D95,Lookups!$A$5:$E$10,3,FALSE)</f>
        <v/>
      </c>
      <c r="K95" s="25">
        <f>VLOOKUP(D95,Lookups!$A$5:$E$10,4,FALSE)</f>
        <v/>
      </c>
      <c r="L95" s="25">
        <f>E95*K95*(1-F95)</f>
        <v/>
      </c>
      <c r="M95" s="25">
        <f>L95*VLOOKUP(D95,Lookups!$A$5:$E$10,5,FALSE)</f>
        <v/>
      </c>
    </row>
    <row r="96">
      <c r="A96" s="21" t="inlineStr">
        <is>
          <t>INV-11068</t>
        </is>
      </c>
      <c r="B96" s="22" t="n">
        <v>45690</v>
      </c>
      <c r="C96" s="21" t="inlineStr">
        <is>
          <t>R01</t>
        </is>
      </c>
      <c r="D96" s="21" t="inlineStr">
        <is>
          <t>P400</t>
        </is>
      </c>
      <c r="E96" s="21" t="n">
        <v>1</v>
      </c>
      <c r="F96" s="23" t="n">
        <v>0.1</v>
      </c>
      <c r="G96" s="24">
        <f>TEXT(B96,"mmm")</f>
        <v/>
      </c>
      <c r="H96" s="24">
        <f>HLOOKUP(C96,Lookups!$H$4:$K$5,2,FALSE)</f>
        <v/>
      </c>
      <c r="I96" s="24">
        <f>VLOOKUP(D96,Lookups!$A$5:$E$10,2,FALSE)</f>
        <v/>
      </c>
      <c r="J96" s="24">
        <f>VLOOKUP(D96,Lookups!$A$5:$E$10,3,FALSE)</f>
        <v/>
      </c>
      <c r="K96" s="25">
        <f>VLOOKUP(D96,Lookups!$A$5:$E$10,4,FALSE)</f>
        <v/>
      </c>
      <c r="L96" s="25">
        <f>E96*K96*(1-F96)</f>
        <v/>
      </c>
      <c r="M96" s="25">
        <f>L96*VLOOKUP(D96,Lookups!$A$5:$E$10,5,FALSE)</f>
        <v/>
      </c>
    </row>
    <row r="97">
      <c r="A97" s="21" t="inlineStr">
        <is>
          <t>INV-10320</t>
        </is>
      </c>
      <c r="B97" s="22" t="n">
        <v>45691</v>
      </c>
      <c r="C97" s="21" t="inlineStr">
        <is>
          <t>R01</t>
        </is>
      </c>
      <c r="D97" s="21" t="inlineStr">
        <is>
          <t>P300</t>
        </is>
      </c>
      <c r="E97" s="21" t="n">
        <v>18</v>
      </c>
      <c r="F97" s="23" t="n">
        <v>0.1</v>
      </c>
      <c r="G97" s="24">
        <f>TEXT(B97,"mmm")</f>
        <v/>
      </c>
      <c r="H97" s="24">
        <f>HLOOKUP(C97,Lookups!$H$4:$K$5,2,FALSE)</f>
        <v/>
      </c>
      <c r="I97" s="24">
        <f>VLOOKUP(D97,Lookups!$A$5:$E$10,2,FALSE)</f>
        <v/>
      </c>
      <c r="J97" s="24">
        <f>VLOOKUP(D97,Lookups!$A$5:$E$10,3,FALSE)</f>
        <v/>
      </c>
      <c r="K97" s="25">
        <f>VLOOKUP(D97,Lookups!$A$5:$E$10,4,FALSE)</f>
        <v/>
      </c>
      <c r="L97" s="25">
        <f>E97*K97*(1-F97)</f>
        <v/>
      </c>
      <c r="M97" s="25">
        <f>L97*VLOOKUP(D97,Lookups!$A$5:$E$10,5,FALSE)</f>
        <v/>
      </c>
    </row>
    <row r="98">
      <c r="A98" s="21" t="inlineStr">
        <is>
          <t>INV-10789</t>
        </is>
      </c>
      <c r="B98" s="22" t="n">
        <v>45691</v>
      </c>
      <c r="C98" s="21" t="inlineStr">
        <is>
          <t>R04</t>
        </is>
      </c>
      <c r="D98" s="21" t="inlineStr">
        <is>
          <t>P300</t>
        </is>
      </c>
      <c r="E98" s="21" t="n">
        <v>5</v>
      </c>
      <c r="F98" s="23" t="n">
        <v>0</v>
      </c>
      <c r="G98" s="24">
        <f>TEXT(B98,"mmm")</f>
        <v/>
      </c>
      <c r="H98" s="24">
        <f>HLOOKUP(C98,Lookups!$H$4:$K$5,2,FALSE)</f>
        <v/>
      </c>
      <c r="I98" s="24">
        <f>VLOOKUP(D98,Lookups!$A$5:$E$10,2,FALSE)</f>
        <v/>
      </c>
      <c r="J98" s="24">
        <f>VLOOKUP(D98,Lookups!$A$5:$E$10,3,FALSE)</f>
        <v/>
      </c>
      <c r="K98" s="25">
        <f>VLOOKUP(D98,Lookups!$A$5:$E$10,4,FALSE)</f>
        <v/>
      </c>
      <c r="L98" s="25">
        <f>E98*K98*(1-F98)</f>
        <v/>
      </c>
      <c r="M98" s="25">
        <f>L98*VLOOKUP(D98,Lookups!$A$5:$E$10,5,FALSE)</f>
        <v/>
      </c>
    </row>
    <row r="99">
      <c r="A99" s="21" t="inlineStr">
        <is>
          <t>INV-10376</t>
        </is>
      </c>
      <c r="B99" s="22" t="n">
        <v>45692</v>
      </c>
      <c r="C99" s="21" t="inlineStr">
        <is>
          <t>R03</t>
        </is>
      </c>
      <c r="D99" s="21" t="inlineStr">
        <is>
          <t>P200</t>
        </is>
      </c>
      <c r="E99" s="21" t="n">
        <v>12</v>
      </c>
      <c r="F99" s="23" t="n">
        <v>0.1</v>
      </c>
      <c r="G99" s="24">
        <f>TEXT(B99,"mmm")</f>
        <v/>
      </c>
      <c r="H99" s="24">
        <f>HLOOKUP(C99,Lookups!$H$4:$K$5,2,FALSE)</f>
        <v/>
      </c>
      <c r="I99" s="24">
        <f>VLOOKUP(D99,Lookups!$A$5:$E$10,2,FALSE)</f>
        <v/>
      </c>
      <c r="J99" s="24">
        <f>VLOOKUP(D99,Lookups!$A$5:$E$10,3,FALSE)</f>
        <v/>
      </c>
      <c r="K99" s="25">
        <f>VLOOKUP(D99,Lookups!$A$5:$E$10,4,FALSE)</f>
        <v/>
      </c>
      <c r="L99" s="25">
        <f>E99*K99*(1-F99)</f>
        <v/>
      </c>
      <c r="M99" s="25">
        <f>L99*VLOOKUP(D99,Lookups!$A$5:$E$10,5,FALSE)</f>
        <v/>
      </c>
    </row>
    <row r="100">
      <c r="A100" s="21" t="inlineStr">
        <is>
          <t>INV-11026</t>
        </is>
      </c>
      <c r="B100" s="22" t="n">
        <v>45692</v>
      </c>
      <c r="C100" s="21" t="inlineStr">
        <is>
          <t>R02</t>
        </is>
      </c>
      <c r="D100" s="21" t="inlineStr">
        <is>
          <t>P400</t>
        </is>
      </c>
      <c r="E100" s="21" t="n">
        <v>22</v>
      </c>
      <c r="F100" s="23" t="n">
        <v>0</v>
      </c>
      <c r="G100" s="24">
        <f>TEXT(B100,"mmm")</f>
        <v/>
      </c>
      <c r="H100" s="24">
        <f>HLOOKUP(C100,Lookups!$H$4:$K$5,2,FALSE)</f>
        <v/>
      </c>
      <c r="I100" s="24">
        <f>VLOOKUP(D100,Lookups!$A$5:$E$10,2,FALSE)</f>
        <v/>
      </c>
      <c r="J100" s="24">
        <f>VLOOKUP(D100,Lookups!$A$5:$E$10,3,FALSE)</f>
        <v/>
      </c>
      <c r="K100" s="25">
        <f>VLOOKUP(D100,Lookups!$A$5:$E$10,4,FALSE)</f>
        <v/>
      </c>
      <c r="L100" s="25">
        <f>E100*K100*(1-F100)</f>
        <v/>
      </c>
      <c r="M100" s="25">
        <f>L100*VLOOKUP(D100,Lookups!$A$5:$E$10,5,FALSE)</f>
        <v/>
      </c>
    </row>
    <row r="101">
      <c r="A101" s="21" t="inlineStr">
        <is>
          <t>INV-10036</t>
        </is>
      </c>
      <c r="B101" s="22" t="n">
        <v>45693</v>
      </c>
      <c r="C101" s="21" t="inlineStr">
        <is>
          <t>R02</t>
        </is>
      </c>
      <c r="D101" s="21" t="inlineStr">
        <is>
          <t>P500</t>
        </is>
      </c>
      <c r="E101" s="21" t="n">
        <v>5</v>
      </c>
      <c r="F101" s="23" t="n">
        <v>0.1</v>
      </c>
      <c r="G101" s="24">
        <f>TEXT(B101,"mmm")</f>
        <v/>
      </c>
      <c r="H101" s="24">
        <f>HLOOKUP(C101,Lookups!$H$4:$K$5,2,FALSE)</f>
        <v/>
      </c>
      <c r="I101" s="24">
        <f>VLOOKUP(D101,Lookups!$A$5:$E$10,2,FALSE)</f>
        <v/>
      </c>
      <c r="J101" s="24">
        <f>VLOOKUP(D101,Lookups!$A$5:$E$10,3,FALSE)</f>
        <v/>
      </c>
      <c r="K101" s="25">
        <f>VLOOKUP(D101,Lookups!$A$5:$E$10,4,FALSE)</f>
        <v/>
      </c>
      <c r="L101" s="25">
        <f>E101*K101*(1-F101)</f>
        <v/>
      </c>
      <c r="M101" s="25">
        <f>L101*VLOOKUP(D101,Lookups!$A$5:$E$10,5,FALSE)</f>
        <v/>
      </c>
    </row>
    <row r="102">
      <c r="A102" s="21" t="inlineStr">
        <is>
          <t>INV-10283</t>
        </is>
      </c>
      <c r="B102" s="22" t="n">
        <v>45693</v>
      </c>
      <c r="C102" s="21" t="inlineStr">
        <is>
          <t>R01</t>
        </is>
      </c>
      <c r="D102" s="21" t="inlineStr">
        <is>
          <t>P200</t>
        </is>
      </c>
      <c r="E102" s="21" t="n">
        <v>3</v>
      </c>
      <c r="F102" s="23" t="n">
        <v>0</v>
      </c>
      <c r="G102" s="24">
        <f>TEXT(B102,"mmm")</f>
        <v/>
      </c>
      <c r="H102" s="24">
        <f>HLOOKUP(C102,Lookups!$H$4:$K$5,2,FALSE)</f>
        <v/>
      </c>
      <c r="I102" s="24">
        <f>VLOOKUP(D102,Lookups!$A$5:$E$10,2,FALSE)</f>
        <v/>
      </c>
      <c r="J102" s="24">
        <f>VLOOKUP(D102,Lookups!$A$5:$E$10,3,FALSE)</f>
        <v/>
      </c>
      <c r="K102" s="25">
        <f>VLOOKUP(D102,Lookups!$A$5:$E$10,4,FALSE)</f>
        <v/>
      </c>
      <c r="L102" s="25">
        <f>E102*K102*(1-F102)</f>
        <v/>
      </c>
      <c r="M102" s="25">
        <f>L102*VLOOKUP(D102,Lookups!$A$5:$E$10,5,FALSE)</f>
        <v/>
      </c>
    </row>
    <row r="103">
      <c r="A103" s="21" t="inlineStr">
        <is>
          <t>INV-10176</t>
        </is>
      </c>
      <c r="B103" s="22" t="n">
        <v>45694</v>
      </c>
      <c r="C103" s="21" t="inlineStr">
        <is>
          <t>R02</t>
        </is>
      </c>
      <c r="D103" s="21" t="inlineStr">
        <is>
          <t>P100</t>
        </is>
      </c>
      <c r="E103" s="21" t="n">
        <v>10</v>
      </c>
      <c r="F103" s="23" t="n">
        <v>0.05</v>
      </c>
      <c r="G103" s="24">
        <f>TEXT(B103,"mmm")</f>
        <v/>
      </c>
      <c r="H103" s="24">
        <f>HLOOKUP(C103,Lookups!$H$4:$K$5,2,FALSE)</f>
        <v/>
      </c>
      <c r="I103" s="24">
        <f>VLOOKUP(D103,Lookups!$A$5:$E$10,2,FALSE)</f>
        <v/>
      </c>
      <c r="J103" s="24">
        <f>VLOOKUP(D103,Lookups!$A$5:$E$10,3,FALSE)</f>
        <v/>
      </c>
      <c r="K103" s="25">
        <f>VLOOKUP(D103,Lookups!$A$5:$E$10,4,FALSE)</f>
        <v/>
      </c>
      <c r="L103" s="25">
        <f>E103*K103*(1-F103)</f>
        <v/>
      </c>
      <c r="M103" s="25">
        <f>L103*VLOOKUP(D103,Lookups!$A$5:$E$10,5,FALSE)</f>
        <v/>
      </c>
    </row>
    <row r="104">
      <c r="A104" s="21" t="inlineStr">
        <is>
          <t>INV-10296</t>
        </is>
      </c>
      <c r="B104" s="22" t="n">
        <v>45694</v>
      </c>
      <c r="C104" s="21" t="inlineStr">
        <is>
          <t>R01</t>
        </is>
      </c>
      <c r="D104" s="21" t="inlineStr">
        <is>
          <t>P400</t>
        </is>
      </c>
      <c r="E104" s="21" t="n">
        <v>14</v>
      </c>
      <c r="F104" s="23" t="n">
        <v>0</v>
      </c>
      <c r="G104" s="24">
        <f>TEXT(B104,"mmm")</f>
        <v/>
      </c>
      <c r="H104" s="24">
        <f>HLOOKUP(C104,Lookups!$H$4:$K$5,2,FALSE)</f>
        <v/>
      </c>
      <c r="I104" s="24">
        <f>VLOOKUP(D104,Lookups!$A$5:$E$10,2,FALSE)</f>
        <v/>
      </c>
      <c r="J104" s="24">
        <f>VLOOKUP(D104,Lookups!$A$5:$E$10,3,FALSE)</f>
        <v/>
      </c>
      <c r="K104" s="25">
        <f>VLOOKUP(D104,Lookups!$A$5:$E$10,4,FALSE)</f>
        <v/>
      </c>
      <c r="L104" s="25">
        <f>E104*K104*(1-F104)</f>
        <v/>
      </c>
      <c r="M104" s="25">
        <f>L104*VLOOKUP(D104,Lookups!$A$5:$E$10,5,FALSE)</f>
        <v/>
      </c>
    </row>
    <row r="105">
      <c r="A105" s="21" t="inlineStr">
        <is>
          <t>INV-10065</t>
        </is>
      </c>
      <c r="B105" s="22" t="n">
        <v>45695</v>
      </c>
      <c r="C105" s="21" t="inlineStr">
        <is>
          <t>R04</t>
        </is>
      </c>
      <c r="D105" s="21" t="inlineStr">
        <is>
          <t>P100</t>
        </is>
      </c>
      <c r="E105" s="21" t="n">
        <v>20</v>
      </c>
      <c r="F105" s="23" t="n">
        <v>0</v>
      </c>
      <c r="G105" s="24">
        <f>TEXT(B105,"mmm")</f>
        <v/>
      </c>
      <c r="H105" s="24">
        <f>HLOOKUP(C105,Lookups!$H$4:$K$5,2,FALSE)</f>
        <v/>
      </c>
      <c r="I105" s="24">
        <f>VLOOKUP(D105,Lookups!$A$5:$E$10,2,FALSE)</f>
        <v/>
      </c>
      <c r="J105" s="24">
        <f>VLOOKUP(D105,Lookups!$A$5:$E$10,3,FALSE)</f>
        <v/>
      </c>
      <c r="K105" s="25">
        <f>VLOOKUP(D105,Lookups!$A$5:$E$10,4,FALSE)</f>
        <v/>
      </c>
      <c r="L105" s="25">
        <f>E105*K105*(1-F105)</f>
        <v/>
      </c>
      <c r="M105" s="25">
        <f>L105*VLOOKUP(D105,Lookups!$A$5:$E$10,5,FALSE)</f>
        <v/>
      </c>
    </row>
    <row r="106">
      <c r="A106" s="21" t="inlineStr">
        <is>
          <t>INV-10066</t>
        </is>
      </c>
      <c r="B106" s="22" t="n">
        <v>45695</v>
      </c>
      <c r="C106" s="21" t="inlineStr">
        <is>
          <t>R02</t>
        </is>
      </c>
      <c r="D106" s="21" t="inlineStr">
        <is>
          <t>P500</t>
        </is>
      </c>
      <c r="E106" s="21" t="n">
        <v>17</v>
      </c>
      <c r="F106" s="23" t="n">
        <v>0.05</v>
      </c>
      <c r="G106" s="24">
        <f>TEXT(B106,"mmm")</f>
        <v/>
      </c>
      <c r="H106" s="24">
        <f>HLOOKUP(C106,Lookups!$H$4:$K$5,2,FALSE)</f>
        <v/>
      </c>
      <c r="I106" s="24">
        <f>VLOOKUP(D106,Lookups!$A$5:$E$10,2,FALSE)</f>
        <v/>
      </c>
      <c r="J106" s="24">
        <f>VLOOKUP(D106,Lookups!$A$5:$E$10,3,FALSE)</f>
        <v/>
      </c>
      <c r="K106" s="25">
        <f>VLOOKUP(D106,Lookups!$A$5:$E$10,4,FALSE)</f>
        <v/>
      </c>
      <c r="L106" s="25">
        <f>E106*K106*(1-F106)</f>
        <v/>
      </c>
      <c r="M106" s="25">
        <f>L106*VLOOKUP(D106,Lookups!$A$5:$E$10,5,FALSE)</f>
        <v/>
      </c>
    </row>
    <row r="107">
      <c r="A107" s="21" t="inlineStr">
        <is>
          <t>INV-10222</t>
        </is>
      </c>
      <c r="B107" s="22" t="n">
        <v>45695</v>
      </c>
      <c r="C107" s="21" t="inlineStr">
        <is>
          <t>R03</t>
        </is>
      </c>
      <c r="D107" s="21" t="inlineStr">
        <is>
          <t>P400</t>
        </is>
      </c>
      <c r="E107" s="21" t="n">
        <v>19</v>
      </c>
      <c r="F107" s="23" t="n">
        <v>0.05</v>
      </c>
      <c r="G107" s="24">
        <f>TEXT(B107,"mmm")</f>
        <v/>
      </c>
      <c r="H107" s="24">
        <f>HLOOKUP(C107,Lookups!$H$4:$K$5,2,FALSE)</f>
        <v/>
      </c>
      <c r="I107" s="24">
        <f>VLOOKUP(D107,Lookups!$A$5:$E$10,2,FALSE)</f>
        <v/>
      </c>
      <c r="J107" s="24">
        <f>VLOOKUP(D107,Lookups!$A$5:$E$10,3,FALSE)</f>
        <v/>
      </c>
      <c r="K107" s="25">
        <f>VLOOKUP(D107,Lookups!$A$5:$E$10,4,FALSE)</f>
        <v/>
      </c>
      <c r="L107" s="25">
        <f>E107*K107*(1-F107)</f>
        <v/>
      </c>
      <c r="M107" s="25">
        <f>L107*VLOOKUP(D107,Lookups!$A$5:$E$10,5,FALSE)</f>
        <v/>
      </c>
    </row>
    <row r="108">
      <c r="A108" s="21" t="inlineStr">
        <is>
          <t>INV-10384</t>
        </is>
      </c>
      <c r="B108" s="22" t="n">
        <v>45695</v>
      </c>
      <c r="C108" s="21" t="inlineStr">
        <is>
          <t>R02</t>
        </is>
      </c>
      <c r="D108" s="21" t="inlineStr">
        <is>
          <t>P400</t>
        </is>
      </c>
      <c r="E108" s="21" t="n">
        <v>23</v>
      </c>
      <c r="F108" s="23" t="n">
        <v>0.1</v>
      </c>
      <c r="G108" s="24">
        <f>TEXT(B108,"mmm")</f>
        <v/>
      </c>
      <c r="H108" s="24">
        <f>HLOOKUP(C108,Lookups!$H$4:$K$5,2,FALSE)</f>
        <v/>
      </c>
      <c r="I108" s="24">
        <f>VLOOKUP(D108,Lookups!$A$5:$E$10,2,FALSE)</f>
        <v/>
      </c>
      <c r="J108" s="24">
        <f>VLOOKUP(D108,Lookups!$A$5:$E$10,3,FALSE)</f>
        <v/>
      </c>
      <c r="K108" s="25">
        <f>VLOOKUP(D108,Lookups!$A$5:$E$10,4,FALSE)</f>
        <v/>
      </c>
      <c r="L108" s="25">
        <f>E108*K108*(1-F108)</f>
        <v/>
      </c>
      <c r="M108" s="25">
        <f>L108*VLOOKUP(D108,Lookups!$A$5:$E$10,5,FALSE)</f>
        <v/>
      </c>
    </row>
    <row r="109">
      <c r="A109" s="21" t="inlineStr">
        <is>
          <t>INV-10420</t>
        </is>
      </c>
      <c r="B109" s="22" t="n">
        <v>45695</v>
      </c>
      <c r="C109" s="21" t="inlineStr">
        <is>
          <t>R04</t>
        </is>
      </c>
      <c r="D109" s="21" t="inlineStr">
        <is>
          <t>P400</t>
        </is>
      </c>
      <c r="E109" s="21" t="n">
        <v>25</v>
      </c>
      <c r="F109" s="23" t="n">
        <v>0.05</v>
      </c>
      <c r="G109" s="24">
        <f>TEXT(B109,"mmm")</f>
        <v/>
      </c>
      <c r="H109" s="24">
        <f>HLOOKUP(C109,Lookups!$H$4:$K$5,2,FALSE)</f>
        <v/>
      </c>
      <c r="I109" s="24">
        <f>VLOOKUP(D109,Lookups!$A$5:$E$10,2,FALSE)</f>
        <v/>
      </c>
      <c r="J109" s="24">
        <f>VLOOKUP(D109,Lookups!$A$5:$E$10,3,FALSE)</f>
        <v/>
      </c>
      <c r="K109" s="25">
        <f>VLOOKUP(D109,Lookups!$A$5:$E$10,4,FALSE)</f>
        <v/>
      </c>
      <c r="L109" s="25">
        <f>E109*K109*(1-F109)</f>
        <v/>
      </c>
      <c r="M109" s="25">
        <f>L109*VLOOKUP(D109,Lookups!$A$5:$E$10,5,FALSE)</f>
        <v/>
      </c>
    </row>
    <row r="110">
      <c r="A110" s="21" t="inlineStr">
        <is>
          <t>INV-10915</t>
        </is>
      </c>
      <c r="B110" s="22" t="n">
        <v>45695</v>
      </c>
      <c r="C110" s="21" t="inlineStr">
        <is>
          <t>R03</t>
        </is>
      </c>
      <c r="D110" s="21" t="inlineStr">
        <is>
          <t>P600</t>
        </is>
      </c>
      <c r="E110" s="21" t="n">
        <v>17</v>
      </c>
      <c r="F110" s="23" t="n">
        <v>0</v>
      </c>
      <c r="G110" s="24">
        <f>TEXT(B110,"mmm")</f>
        <v/>
      </c>
      <c r="H110" s="24">
        <f>HLOOKUP(C110,Lookups!$H$4:$K$5,2,FALSE)</f>
        <v/>
      </c>
      <c r="I110" s="24">
        <f>VLOOKUP(D110,Lookups!$A$5:$E$10,2,FALSE)</f>
        <v/>
      </c>
      <c r="J110" s="24">
        <f>VLOOKUP(D110,Lookups!$A$5:$E$10,3,FALSE)</f>
        <v/>
      </c>
      <c r="K110" s="25">
        <f>VLOOKUP(D110,Lookups!$A$5:$E$10,4,FALSE)</f>
        <v/>
      </c>
      <c r="L110" s="25">
        <f>E110*K110*(1-F110)</f>
        <v/>
      </c>
      <c r="M110" s="25">
        <f>L110*VLOOKUP(D110,Lookups!$A$5:$E$10,5,FALSE)</f>
        <v/>
      </c>
    </row>
    <row r="111">
      <c r="A111" s="21" t="inlineStr">
        <is>
          <t>INV-10236</t>
        </is>
      </c>
      <c r="B111" s="22" t="n">
        <v>45696</v>
      </c>
      <c r="C111" s="21" t="inlineStr">
        <is>
          <t>R02</t>
        </is>
      </c>
      <c r="D111" s="21" t="inlineStr">
        <is>
          <t>P200</t>
        </is>
      </c>
      <c r="E111" s="21" t="n">
        <v>22</v>
      </c>
      <c r="F111" s="23" t="n">
        <v>0.1</v>
      </c>
      <c r="G111" s="24">
        <f>TEXT(B111,"mmm")</f>
        <v/>
      </c>
      <c r="H111" s="24">
        <f>HLOOKUP(C111,Lookups!$H$4:$K$5,2,FALSE)</f>
        <v/>
      </c>
      <c r="I111" s="24">
        <f>VLOOKUP(D111,Lookups!$A$5:$E$10,2,FALSE)</f>
        <v/>
      </c>
      <c r="J111" s="24">
        <f>VLOOKUP(D111,Lookups!$A$5:$E$10,3,FALSE)</f>
        <v/>
      </c>
      <c r="K111" s="25">
        <f>VLOOKUP(D111,Lookups!$A$5:$E$10,4,FALSE)</f>
        <v/>
      </c>
      <c r="L111" s="25">
        <f>E111*K111*(1-F111)</f>
        <v/>
      </c>
      <c r="M111" s="25">
        <f>L111*VLOOKUP(D111,Lookups!$A$5:$E$10,5,FALSE)</f>
        <v/>
      </c>
    </row>
    <row r="112">
      <c r="A112" s="21" t="inlineStr">
        <is>
          <t>INV-10374</t>
        </is>
      </c>
      <c r="B112" s="22" t="n">
        <v>45696</v>
      </c>
      <c r="C112" s="21" t="inlineStr">
        <is>
          <t>R04</t>
        </is>
      </c>
      <c r="D112" s="21" t="inlineStr">
        <is>
          <t>P600</t>
        </is>
      </c>
      <c r="E112" s="21" t="n">
        <v>12</v>
      </c>
      <c r="F112" s="23" t="n">
        <v>0</v>
      </c>
      <c r="G112" s="24">
        <f>TEXT(B112,"mmm")</f>
        <v/>
      </c>
      <c r="H112" s="24">
        <f>HLOOKUP(C112,Lookups!$H$4:$K$5,2,FALSE)</f>
        <v/>
      </c>
      <c r="I112" s="24">
        <f>VLOOKUP(D112,Lookups!$A$5:$E$10,2,FALSE)</f>
        <v/>
      </c>
      <c r="J112" s="24">
        <f>VLOOKUP(D112,Lookups!$A$5:$E$10,3,FALSE)</f>
        <v/>
      </c>
      <c r="K112" s="25">
        <f>VLOOKUP(D112,Lookups!$A$5:$E$10,4,FALSE)</f>
        <v/>
      </c>
      <c r="L112" s="25">
        <f>E112*K112*(1-F112)</f>
        <v/>
      </c>
      <c r="M112" s="25">
        <f>L112*VLOOKUP(D112,Lookups!$A$5:$E$10,5,FALSE)</f>
        <v/>
      </c>
    </row>
    <row r="113">
      <c r="A113" s="21" t="inlineStr">
        <is>
          <t>INV-10523</t>
        </is>
      </c>
      <c r="B113" s="22" t="n">
        <v>45696</v>
      </c>
      <c r="C113" s="21" t="inlineStr">
        <is>
          <t>R01</t>
        </is>
      </c>
      <c r="D113" s="21" t="inlineStr">
        <is>
          <t>P600</t>
        </is>
      </c>
      <c r="E113" s="21" t="n">
        <v>25</v>
      </c>
      <c r="F113" s="23" t="n">
        <v>0</v>
      </c>
      <c r="G113" s="24">
        <f>TEXT(B113,"mmm")</f>
        <v/>
      </c>
      <c r="H113" s="24">
        <f>HLOOKUP(C113,Lookups!$H$4:$K$5,2,FALSE)</f>
        <v/>
      </c>
      <c r="I113" s="24">
        <f>VLOOKUP(D113,Lookups!$A$5:$E$10,2,FALSE)</f>
        <v/>
      </c>
      <c r="J113" s="24">
        <f>VLOOKUP(D113,Lookups!$A$5:$E$10,3,FALSE)</f>
        <v/>
      </c>
      <c r="K113" s="25">
        <f>VLOOKUP(D113,Lookups!$A$5:$E$10,4,FALSE)</f>
        <v/>
      </c>
      <c r="L113" s="25">
        <f>E113*K113*(1-F113)</f>
        <v/>
      </c>
      <c r="M113" s="25">
        <f>L113*VLOOKUP(D113,Lookups!$A$5:$E$10,5,FALSE)</f>
        <v/>
      </c>
    </row>
    <row r="114">
      <c r="A114" s="21" t="inlineStr">
        <is>
          <t>INV-10539</t>
        </is>
      </c>
      <c r="B114" s="22" t="n">
        <v>45696</v>
      </c>
      <c r="C114" s="21" t="inlineStr">
        <is>
          <t>R03</t>
        </is>
      </c>
      <c r="D114" s="21" t="inlineStr">
        <is>
          <t>P600</t>
        </is>
      </c>
      <c r="E114" s="21" t="n">
        <v>18</v>
      </c>
      <c r="F114" s="23" t="n">
        <v>0</v>
      </c>
      <c r="G114" s="24">
        <f>TEXT(B114,"mmm")</f>
        <v/>
      </c>
      <c r="H114" s="24">
        <f>HLOOKUP(C114,Lookups!$H$4:$K$5,2,FALSE)</f>
        <v/>
      </c>
      <c r="I114" s="24">
        <f>VLOOKUP(D114,Lookups!$A$5:$E$10,2,FALSE)</f>
        <v/>
      </c>
      <c r="J114" s="24">
        <f>VLOOKUP(D114,Lookups!$A$5:$E$10,3,FALSE)</f>
        <v/>
      </c>
      <c r="K114" s="25">
        <f>VLOOKUP(D114,Lookups!$A$5:$E$10,4,FALSE)</f>
        <v/>
      </c>
      <c r="L114" s="25">
        <f>E114*K114*(1-F114)</f>
        <v/>
      </c>
      <c r="M114" s="25">
        <f>L114*VLOOKUP(D114,Lookups!$A$5:$E$10,5,FALSE)</f>
        <v/>
      </c>
    </row>
    <row r="115">
      <c r="A115" s="21" t="inlineStr">
        <is>
          <t>INV-10708</t>
        </is>
      </c>
      <c r="B115" s="22" t="n">
        <v>45696</v>
      </c>
      <c r="C115" s="21" t="inlineStr">
        <is>
          <t>R01</t>
        </is>
      </c>
      <c r="D115" s="21" t="inlineStr">
        <is>
          <t>P100</t>
        </is>
      </c>
      <c r="E115" s="21" t="n">
        <v>7</v>
      </c>
      <c r="F115" s="23" t="n">
        <v>0.1</v>
      </c>
      <c r="G115" s="24">
        <f>TEXT(B115,"mmm")</f>
        <v/>
      </c>
      <c r="H115" s="24">
        <f>HLOOKUP(C115,Lookups!$H$4:$K$5,2,FALSE)</f>
        <v/>
      </c>
      <c r="I115" s="24">
        <f>VLOOKUP(D115,Lookups!$A$5:$E$10,2,FALSE)</f>
        <v/>
      </c>
      <c r="J115" s="24">
        <f>VLOOKUP(D115,Lookups!$A$5:$E$10,3,FALSE)</f>
        <v/>
      </c>
      <c r="K115" s="25">
        <f>VLOOKUP(D115,Lookups!$A$5:$E$10,4,FALSE)</f>
        <v/>
      </c>
      <c r="L115" s="25">
        <f>E115*K115*(1-F115)</f>
        <v/>
      </c>
      <c r="M115" s="25">
        <f>L115*VLOOKUP(D115,Lookups!$A$5:$E$10,5,FALSE)</f>
        <v/>
      </c>
    </row>
    <row r="116">
      <c r="A116" s="21" t="inlineStr">
        <is>
          <t>INV-10958</t>
        </is>
      </c>
      <c r="B116" s="22" t="n">
        <v>45696</v>
      </c>
      <c r="C116" s="21" t="inlineStr">
        <is>
          <t>R01</t>
        </is>
      </c>
      <c r="D116" s="21" t="inlineStr">
        <is>
          <t>P100</t>
        </is>
      </c>
      <c r="E116" s="21" t="n">
        <v>19</v>
      </c>
      <c r="F116" s="23" t="n">
        <v>0.1</v>
      </c>
      <c r="G116" s="24">
        <f>TEXT(B116,"mmm")</f>
        <v/>
      </c>
      <c r="H116" s="24">
        <f>HLOOKUP(C116,Lookups!$H$4:$K$5,2,FALSE)</f>
        <v/>
      </c>
      <c r="I116" s="24">
        <f>VLOOKUP(D116,Lookups!$A$5:$E$10,2,FALSE)</f>
        <v/>
      </c>
      <c r="J116" s="24">
        <f>VLOOKUP(D116,Lookups!$A$5:$E$10,3,FALSE)</f>
        <v/>
      </c>
      <c r="K116" s="25">
        <f>VLOOKUP(D116,Lookups!$A$5:$E$10,4,FALSE)</f>
        <v/>
      </c>
      <c r="L116" s="25">
        <f>E116*K116*(1-F116)</f>
        <v/>
      </c>
      <c r="M116" s="25">
        <f>L116*VLOOKUP(D116,Lookups!$A$5:$E$10,5,FALSE)</f>
        <v/>
      </c>
    </row>
    <row r="117">
      <c r="A117" s="21" t="inlineStr">
        <is>
          <t>INV-10312</t>
        </is>
      </c>
      <c r="B117" s="22" t="n">
        <v>45697</v>
      </c>
      <c r="C117" s="21" t="inlineStr">
        <is>
          <t>R01</t>
        </is>
      </c>
      <c r="D117" s="21" t="inlineStr">
        <is>
          <t>P600</t>
        </is>
      </c>
      <c r="E117" s="21" t="n">
        <v>20</v>
      </c>
      <c r="F117" s="23" t="n">
        <v>0.1</v>
      </c>
      <c r="G117" s="24">
        <f>TEXT(B117,"mmm")</f>
        <v/>
      </c>
      <c r="H117" s="24">
        <f>HLOOKUP(C117,Lookups!$H$4:$K$5,2,FALSE)</f>
        <v/>
      </c>
      <c r="I117" s="24">
        <f>VLOOKUP(D117,Lookups!$A$5:$E$10,2,FALSE)</f>
        <v/>
      </c>
      <c r="J117" s="24">
        <f>VLOOKUP(D117,Lookups!$A$5:$E$10,3,FALSE)</f>
        <v/>
      </c>
      <c r="K117" s="25">
        <f>VLOOKUP(D117,Lookups!$A$5:$E$10,4,FALSE)</f>
        <v/>
      </c>
      <c r="L117" s="25">
        <f>E117*K117*(1-F117)</f>
        <v/>
      </c>
      <c r="M117" s="25">
        <f>L117*VLOOKUP(D117,Lookups!$A$5:$E$10,5,FALSE)</f>
        <v/>
      </c>
    </row>
    <row r="118">
      <c r="A118" s="21" t="inlineStr">
        <is>
          <t>INV-10641</t>
        </is>
      </c>
      <c r="B118" s="22" t="n">
        <v>45697</v>
      </c>
      <c r="C118" s="21" t="inlineStr">
        <is>
          <t>R02</t>
        </is>
      </c>
      <c r="D118" s="21" t="inlineStr">
        <is>
          <t>P200</t>
        </is>
      </c>
      <c r="E118" s="21" t="n">
        <v>17</v>
      </c>
      <c r="F118" s="23" t="n">
        <v>0.1</v>
      </c>
      <c r="G118" s="24">
        <f>TEXT(B118,"mmm")</f>
        <v/>
      </c>
      <c r="H118" s="24">
        <f>HLOOKUP(C118,Lookups!$H$4:$K$5,2,FALSE)</f>
        <v/>
      </c>
      <c r="I118" s="24">
        <f>VLOOKUP(D118,Lookups!$A$5:$E$10,2,FALSE)</f>
        <v/>
      </c>
      <c r="J118" s="24">
        <f>VLOOKUP(D118,Lookups!$A$5:$E$10,3,FALSE)</f>
        <v/>
      </c>
      <c r="K118" s="25">
        <f>VLOOKUP(D118,Lookups!$A$5:$E$10,4,FALSE)</f>
        <v/>
      </c>
      <c r="L118" s="25">
        <f>E118*K118*(1-F118)</f>
        <v/>
      </c>
      <c r="M118" s="25">
        <f>L118*VLOOKUP(D118,Lookups!$A$5:$E$10,5,FALSE)</f>
        <v/>
      </c>
    </row>
    <row r="119">
      <c r="A119" s="21" t="inlineStr">
        <is>
          <t>INV-10347</t>
        </is>
      </c>
      <c r="B119" s="22" t="n">
        <v>45698</v>
      </c>
      <c r="C119" s="21" t="inlineStr">
        <is>
          <t>R03</t>
        </is>
      </c>
      <c r="D119" s="21" t="inlineStr">
        <is>
          <t>P100</t>
        </is>
      </c>
      <c r="E119" s="21" t="n">
        <v>7</v>
      </c>
      <c r="F119" s="23" t="n">
        <v>0</v>
      </c>
      <c r="G119" s="24">
        <f>TEXT(B119,"mmm")</f>
        <v/>
      </c>
      <c r="H119" s="24">
        <f>HLOOKUP(C119,Lookups!$H$4:$K$5,2,FALSE)</f>
        <v/>
      </c>
      <c r="I119" s="24">
        <f>VLOOKUP(D119,Lookups!$A$5:$E$10,2,FALSE)</f>
        <v/>
      </c>
      <c r="J119" s="24">
        <f>VLOOKUP(D119,Lookups!$A$5:$E$10,3,FALSE)</f>
        <v/>
      </c>
      <c r="K119" s="25">
        <f>VLOOKUP(D119,Lookups!$A$5:$E$10,4,FALSE)</f>
        <v/>
      </c>
      <c r="L119" s="25">
        <f>E119*K119*(1-F119)</f>
        <v/>
      </c>
      <c r="M119" s="25">
        <f>L119*VLOOKUP(D119,Lookups!$A$5:$E$10,5,FALSE)</f>
        <v/>
      </c>
    </row>
    <row r="120">
      <c r="A120" s="21" t="inlineStr">
        <is>
          <t>INV-10370</t>
        </is>
      </c>
      <c r="B120" s="22" t="n">
        <v>45698</v>
      </c>
      <c r="C120" s="21" t="inlineStr">
        <is>
          <t>R03</t>
        </is>
      </c>
      <c r="D120" s="21" t="inlineStr">
        <is>
          <t>P300</t>
        </is>
      </c>
      <c r="E120" s="21" t="n">
        <v>10</v>
      </c>
      <c r="F120" s="23" t="n">
        <v>0.1</v>
      </c>
      <c r="G120" s="24">
        <f>TEXT(B120,"mmm")</f>
        <v/>
      </c>
      <c r="H120" s="24">
        <f>HLOOKUP(C120,Lookups!$H$4:$K$5,2,FALSE)</f>
        <v/>
      </c>
      <c r="I120" s="24">
        <f>VLOOKUP(D120,Lookups!$A$5:$E$10,2,FALSE)</f>
        <v/>
      </c>
      <c r="J120" s="24">
        <f>VLOOKUP(D120,Lookups!$A$5:$E$10,3,FALSE)</f>
        <v/>
      </c>
      <c r="K120" s="25">
        <f>VLOOKUP(D120,Lookups!$A$5:$E$10,4,FALSE)</f>
        <v/>
      </c>
      <c r="L120" s="25">
        <f>E120*K120*(1-F120)</f>
        <v/>
      </c>
      <c r="M120" s="25">
        <f>L120*VLOOKUP(D120,Lookups!$A$5:$E$10,5,FALSE)</f>
        <v/>
      </c>
    </row>
    <row r="121">
      <c r="A121" s="21" t="inlineStr">
        <is>
          <t>INV-10873</t>
        </is>
      </c>
      <c r="B121" s="22" t="n">
        <v>45698</v>
      </c>
      <c r="C121" s="21" t="inlineStr">
        <is>
          <t>R04</t>
        </is>
      </c>
      <c r="D121" s="21" t="inlineStr">
        <is>
          <t>P400</t>
        </is>
      </c>
      <c r="E121" s="21" t="n">
        <v>19</v>
      </c>
      <c r="F121" s="23" t="n">
        <v>0.1</v>
      </c>
      <c r="G121" s="24">
        <f>TEXT(B121,"mmm")</f>
        <v/>
      </c>
      <c r="H121" s="24">
        <f>HLOOKUP(C121,Lookups!$H$4:$K$5,2,FALSE)</f>
        <v/>
      </c>
      <c r="I121" s="24">
        <f>VLOOKUP(D121,Lookups!$A$5:$E$10,2,FALSE)</f>
        <v/>
      </c>
      <c r="J121" s="24">
        <f>VLOOKUP(D121,Lookups!$A$5:$E$10,3,FALSE)</f>
        <v/>
      </c>
      <c r="K121" s="25">
        <f>VLOOKUP(D121,Lookups!$A$5:$E$10,4,FALSE)</f>
        <v/>
      </c>
      <c r="L121" s="25">
        <f>E121*K121*(1-F121)</f>
        <v/>
      </c>
      <c r="M121" s="25">
        <f>L121*VLOOKUP(D121,Lookups!$A$5:$E$10,5,FALSE)</f>
        <v/>
      </c>
    </row>
    <row r="122">
      <c r="A122" s="21" t="inlineStr">
        <is>
          <t>INV-11152</t>
        </is>
      </c>
      <c r="B122" s="22" t="n">
        <v>45698</v>
      </c>
      <c r="C122" s="21" t="inlineStr">
        <is>
          <t>R03</t>
        </is>
      </c>
      <c r="D122" s="21" t="inlineStr">
        <is>
          <t>P100</t>
        </is>
      </c>
      <c r="E122" s="21" t="n">
        <v>12</v>
      </c>
      <c r="F122" s="23" t="n">
        <v>0.1</v>
      </c>
      <c r="G122" s="24">
        <f>TEXT(B122,"mmm")</f>
        <v/>
      </c>
      <c r="H122" s="24">
        <f>HLOOKUP(C122,Lookups!$H$4:$K$5,2,FALSE)</f>
        <v/>
      </c>
      <c r="I122" s="24">
        <f>VLOOKUP(D122,Lookups!$A$5:$E$10,2,FALSE)</f>
        <v/>
      </c>
      <c r="J122" s="24">
        <f>VLOOKUP(D122,Lookups!$A$5:$E$10,3,FALSE)</f>
        <v/>
      </c>
      <c r="K122" s="25">
        <f>VLOOKUP(D122,Lookups!$A$5:$E$10,4,FALSE)</f>
        <v/>
      </c>
      <c r="L122" s="25">
        <f>E122*K122*(1-F122)</f>
        <v/>
      </c>
      <c r="M122" s="25">
        <f>L122*VLOOKUP(D122,Lookups!$A$5:$E$10,5,FALSE)</f>
        <v/>
      </c>
    </row>
    <row r="123">
      <c r="A123" s="21" t="inlineStr">
        <is>
          <t>INV-10343</t>
        </is>
      </c>
      <c r="B123" s="22" t="n">
        <v>45699</v>
      </c>
      <c r="C123" s="21" t="inlineStr">
        <is>
          <t>R02</t>
        </is>
      </c>
      <c r="D123" s="21" t="inlineStr">
        <is>
          <t>P300</t>
        </is>
      </c>
      <c r="E123" s="21" t="n">
        <v>1</v>
      </c>
      <c r="F123" s="23" t="n">
        <v>0.05</v>
      </c>
      <c r="G123" s="24">
        <f>TEXT(B123,"mmm")</f>
        <v/>
      </c>
      <c r="H123" s="24">
        <f>HLOOKUP(C123,Lookups!$H$4:$K$5,2,FALSE)</f>
        <v/>
      </c>
      <c r="I123" s="24">
        <f>VLOOKUP(D123,Lookups!$A$5:$E$10,2,FALSE)</f>
        <v/>
      </c>
      <c r="J123" s="24">
        <f>VLOOKUP(D123,Lookups!$A$5:$E$10,3,FALSE)</f>
        <v/>
      </c>
      <c r="K123" s="25">
        <f>VLOOKUP(D123,Lookups!$A$5:$E$10,4,FALSE)</f>
        <v/>
      </c>
      <c r="L123" s="25">
        <f>E123*K123*(1-F123)</f>
        <v/>
      </c>
      <c r="M123" s="25">
        <f>L123*VLOOKUP(D123,Lookups!$A$5:$E$10,5,FALSE)</f>
        <v/>
      </c>
    </row>
    <row r="124">
      <c r="A124" s="21" t="inlineStr">
        <is>
          <t>INV-10760</t>
        </is>
      </c>
      <c r="B124" s="22" t="n">
        <v>45699</v>
      </c>
      <c r="C124" s="21" t="inlineStr">
        <is>
          <t>R01</t>
        </is>
      </c>
      <c r="D124" s="21" t="inlineStr">
        <is>
          <t>P400</t>
        </is>
      </c>
      <c r="E124" s="21" t="n">
        <v>10</v>
      </c>
      <c r="F124" s="23" t="n">
        <v>0.1</v>
      </c>
      <c r="G124" s="24">
        <f>TEXT(B124,"mmm")</f>
        <v/>
      </c>
      <c r="H124" s="24">
        <f>HLOOKUP(C124,Lookups!$H$4:$K$5,2,FALSE)</f>
        <v/>
      </c>
      <c r="I124" s="24">
        <f>VLOOKUP(D124,Lookups!$A$5:$E$10,2,FALSE)</f>
        <v/>
      </c>
      <c r="J124" s="24">
        <f>VLOOKUP(D124,Lookups!$A$5:$E$10,3,FALSE)</f>
        <v/>
      </c>
      <c r="K124" s="25">
        <f>VLOOKUP(D124,Lookups!$A$5:$E$10,4,FALSE)</f>
        <v/>
      </c>
      <c r="L124" s="25">
        <f>E124*K124*(1-F124)</f>
        <v/>
      </c>
      <c r="M124" s="25">
        <f>L124*VLOOKUP(D124,Lookups!$A$5:$E$10,5,FALSE)</f>
        <v/>
      </c>
    </row>
    <row r="125">
      <c r="A125" s="21" t="inlineStr">
        <is>
          <t>INV-10125</t>
        </is>
      </c>
      <c r="B125" s="22" t="n">
        <v>45700</v>
      </c>
      <c r="C125" s="21" t="inlineStr">
        <is>
          <t>R04</t>
        </is>
      </c>
      <c r="D125" s="21" t="inlineStr">
        <is>
          <t>P600</t>
        </is>
      </c>
      <c r="E125" s="21" t="n">
        <v>5</v>
      </c>
      <c r="F125" s="23" t="n">
        <v>0.1</v>
      </c>
      <c r="G125" s="24">
        <f>TEXT(B125,"mmm")</f>
        <v/>
      </c>
      <c r="H125" s="24">
        <f>HLOOKUP(C125,Lookups!$H$4:$K$5,2,FALSE)</f>
        <v/>
      </c>
      <c r="I125" s="24">
        <f>VLOOKUP(D125,Lookups!$A$5:$E$10,2,FALSE)</f>
        <v/>
      </c>
      <c r="J125" s="24">
        <f>VLOOKUP(D125,Lookups!$A$5:$E$10,3,FALSE)</f>
        <v/>
      </c>
      <c r="K125" s="25">
        <f>VLOOKUP(D125,Lookups!$A$5:$E$10,4,FALSE)</f>
        <v/>
      </c>
      <c r="L125" s="25">
        <f>E125*K125*(1-F125)</f>
        <v/>
      </c>
      <c r="M125" s="25">
        <f>L125*VLOOKUP(D125,Lookups!$A$5:$E$10,5,FALSE)</f>
        <v/>
      </c>
    </row>
    <row r="126">
      <c r="A126" s="21" t="inlineStr">
        <is>
          <t>INV-10368</t>
        </is>
      </c>
      <c r="B126" s="22" t="n">
        <v>45700</v>
      </c>
      <c r="C126" s="21" t="inlineStr">
        <is>
          <t>R04</t>
        </is>
      </c>
      <c r="D126" s="21" t="inlineStr">
        <is>
          <t>P600</t>
        </is>
      </c>
      <c r="E126" s="21" t="n">
        <v>3</v>
      </c>
      <c r="F126" s="23" t="n">
        <v>0.1</v>
      </c>
      <c r="G126" s="24">
        <f>TEXT(B126,"mmm")</f>
        <v/>
      </c>
      <c r="H126" s="24">
        <f>HLOOKUP(C126,Lookups!$H$4:$K$5,2,FALSE)</f>
        <v/>
      </c>
      <c r="I126" s="24">
        <f>VLOOKUP(D126,Lookups!$A$5:$E$10,2,FALSE)</f>
        <v/>
      </c>
      <c r="J126" s="24">
        <f>VLOOKUP(D126,Lookups!$A$5:$E$10,3,FALSE)</f>
        <v/>
      </c>
      <c r="K126" s="25">
        <f>VLOOKUP(D126,Lookups!$A$5:$E$10,4,FALSE)</f>
        <v/>
      </c>
      <c r="L126" s="25">
        <f>E126*K126*(1-F126)</f>
        <v/>
      </c>
      <c r="M126" s="25">
        <f>L126*VLOOKUP(D126,Lookups!$A$5:$E$10,5,FALSE)</f>
        <v/>
      </c>
    </row>
    <row r="127">
      <c r="A127" s="21" t="inlineStr">
        <is>
          <t>INV-10557</t>
        </is>
      </c>
      <c r="B127" s="22" t="n">
        <v>45701</v>
      </c>
      <c r="C127" s="21" t="inlineStr">
        <is>
          <t>R02</t>
        </is>
      </c>
      <c r="D127" s="21" t="inlineStr">
        <is>
          <t>P600</t>
        </is>
      </c>
      <c r="E127" s="21" t="n">
        <v>19</v>
      </c>
      <c r="F127" s="23" t="n">
        <v>0</v>
      </c>
      <c r="G127" s="24">
        <f>TEXT(B127,"mmm")</f>
        <v/>
      </c>
      <c r="H127" s="24">
        <f>HLOOKUP(C127,Lookups!$H$4:$K$5,2,FALSE)</f>
        <v/>
      </c>
      <c r="I127" s="24">
        <f>VLOOKUP(D127,Lookups!$A$5:$E$10,2,FALSE)</f>
        <v/>
      </c>
      <c r="J127" s="24">
        <f>VLOOKUP(D127,Lookups!$A$5:$E$10,3,FALSE)</f>
        <v/>
      </c>
      <c r="K127" s="25">
        <f>VLOOKUP(D127,Lookups!$A$5:$E$10,4,FALSE)</f>
        <v/>
      </c>
      <c r="L127" s="25">
        <f>E127*K127*(1-F127)</f>
        <v/>
      </c>
      <c r="M127" s="25">
        <f>L127*VLOOKUP(D127,Lookups!$A$5:$E$10,5,FALSE)</f>
        <v/>
      </c>
    </row>
    <row r="128">
      <c r="A128" s="21" t="inlineStr">
        <is>
          <t>INV-10984</t>
        </is>
      </c>
      <c r="B128" s="22" t="n">
        <v>45701</v>
      </c>
      <c r="C128" s="21" t="inlineStr">
        <is>
          <t>R04</t>
        </is>
      </c>
      <c r="D128" s="21" t="inlineStr">
        <is>
          <t>P200</t>
        </is>
      </c>
      <c r="E128" s="21" t="n">
        <v>20</v>
      </c>
      <c r="F128" s="23" t="n">
        <v>0.1</v>
      </c>
      <c r="G128" s="24">
        <f>TEXT(B128,"mmm")</f>
        <v/>
      </c>
      <c r="H128" s="24">
        <f>HLOOKUP(C128,Lookups!$H$4:$K$5,2,FALSE)</f>
        <v/>
      </c>
      <c r="I128" s="24">
        <f>VLOOKUP(D128,Lookups!$A$5:$E$10,2,FALSE)</f>
        <v/>
      </c>
      <c r="J128" s="24">
        <f>VLOOKUP(D128,Lookups!$A$5:$E$10,3,FALSE)</f>
        <v/>
      </c>
      <c r="K128" s="25">
        <f>VLOOKUP(D128,Lookups!$A$5:$E$10,4,FALSE)</f>
        <v/>
      </c>
      <c r="L128" s="25">
        <f>E128*K128*(1-F128)</f>
        <v/>
      </c>
      <c r="M128" s="25">
        <f>L128*VLOOKUP(D128,Lookups!$A$5:$E$10,5,FALSE)</f>
        <v/>
      </c>
    </row>
    <row r="129">
      <c r="A129" s="21" t="inlineStr">
        <is>
          <t>INV-11070</t>
        </is>
      </c>
      <c r="B129" s="22" t="n">
        <v>45701</v>
      </c>
      <c r="C129" s="21" t="inlineStr">
        <is>
          <t>R04</t>
        </is>
      </c>
      <c r="D129" s="21" t="inlineStr">
        <is>
          <t>P600</t>
        </is>
      </c>
      <c r="E129" s="21" t="n">
        <v>10</v>
      </c>
      <c r="F129" s="23" t="n">
        <v>0</v>
      </c>
      <c r="G129" s="24">
        <f>TEXT(B129,"mmm")</f>
        <v/>
      </c>
      <c r="H129" s="24">
        <f>HLOOKUP(C129,Lookups!$H$4:$K$5,2,FALSE)</f>
        <v/>
      </c>
      <c r="I129" s="24">
        <f>VLOOKUP(D129,Lookups!$A$5:$E$10,2,FALSE)</f>
        <v/>
      </c>
      <c r="J129" s="24">
        <f>VLOOKUP(D129,Lookups!$A$5:$E$10,3,FALSE)</f>
        <v/>
      </c>
      <c r="K129" s="25">
        <f>VLOOKUP(D129,Lookups!$A$5:$E$10,4,FALSE)</f>
        <v/>
      </c>
      <c r="L129" s="25">
        <f>E129*K129*(1-F129)</f>
        <v/>
      </c>
      <c r="M129" s="25">
        <f>L129*VLOOKUP(D129,Lookups!$A$5:$E$10,5,FALSE)</f>
        <v/>
      </c>
    </row>
    <row r="130">
      <c r="A130" s="21" t="inlineStr">
        <is>
          <t>INV-10144</t>
        </is>
      </c>
      <c r="B130" s="22" t="n">
        <v>45702</v>
      </c>
      <c r="C130" s="21" t="inlineStr">
        <is>
          <t>R04</t>
        </is>
      </c>
      <c r="D130" s="21" t="inlineStr">
        <is>
          <t>P300</t>
        </is>
      </c>
      <c r="E130" s="21" t="n">
        <v>8</v>
      </c>
      <c r="F130" s="23" t="n">
        <v>0.1</v>
      </c>
      <c r="G130" s="24">
        <f>TEXT(B130,"mmm")</f>
        <v/>
      </c>
      <c r="H130" s="24">
        <f>HLOOKUP(C130,Lookups!$H$4:$K$5,2,FALSE)</f>
        <v/>
      </c>
      <c r="I130" s="24">
        <f>VLOOKUP(D130,Lookups!$A$5:$E$10,2,FALSE)</f>
        <v/>
      </c>
      <c r="J130" s="24">
        <f>VLOOKUP(D130,Lookups!$A$5:$E$10,3,FALSE)</f>
        <v/>
      </c>
      <c r="K130" s="25">
        <f>VLOOKUP(D130,Lookups!$A$5:$E$10,4,FALSE)</f>
        <v/>
      </c>
      <c r="L130" s="25">
        <f>E130*K130*(1-F130)</f>
        <v/>
      </c>
      <c r="M130" s="25">
        <f>L130*VLOOKUP(D130,Lookups!$A$5:$E$10,5,FALSE)</f>
        <v/>
      </c>
    </row>
    <row r="131">
      <c r="A131" s="21" t="inlineStr">
        <is>
          <t>INV-10385</t>
        </is>
      </c>
      <c r="B131" s="22" t="n">
        <v>45702</v>
      </c>
      <c r="C131" s="21" t="inlineStr">
        <is>
          <t>R03</t>
        </is>
      </c>
      <c r="D131" s="21" t="inlineStr">
        <is>
          <t>P600</t>
        </is>
      </c>
      <c r="E131" s="21" t="n">
        <v>22</v>
      </c>
      <c r="F131" s="23" t="n">
        <v>0.05</v>
      </c>
      <c r="G131" s="24">
        <f>TEXT(B131,"mmm")</f>
        <v/>
      </c>
      <c r="H131" s="24">
        <f>HLOOKUP(C131,Lookups!$H$4:$K$5,2,FALSE)</f>
        <v/>
      </c>
      <c r="I131" s="24">
        <f>VLOOKUP(D131,Lookups!$A$5:$E$10,2,FALSE)</f>
        <v/>
      </c>
      <c r="J131" s="24">
        <f>VLOOKUP(D131,Lookups!$A$5:$E$10,3,FALSE)</f>
        <v/>
      </c>
      <c r="K131" s="25">
        <f>VLOOKUP(D131,Lookups!$A$5:$E$10,4,FALSE)</f>
        <v/>
      </c>
      <c r="L131" s="25">
        <f>E131*K131*(1-F131)</f>
        <v/>
      </c>
      <c r="M131" s="25">
        <f>L131*VLOOKUP(D131,Lookups!$A$5:$E$10,5,FALSE)</f>
        <v/>
      </c>
    </row>
    <row r="132">
      <c r="A132" s="21" t="inlineStr">
        <is>
          <t>INV-10463</t>
        </is>
      </c>
      <c r="B132" s="22" t="n">
        <v>45702</v>
      </c>
      <c r="C132" s="21" t="inlineStr">
        <is>
          <t>R01</t>
        </is>
      </c>
      <c r="D132" s="21" t="inlineStr">
        <is>
          <t>P400</t>
        </is>
      </c>
      <c r="E132" s="21" t="n">
        <v>6</v>
      </c>
      <c r="F132" s="23" t="n">
        <v>0</v>
      </c>
      <c r="G132" s="24">
        <f>TEXT(B132,"mmm")</f>
        <v/>
      </c>
      <c r="H132" s="24">
        <f>HLOOKUP(C132,Lookups!$H$4:$K$5,2,FALSE)</f>
        <v/>
      </c>
      <c r="I132" s="24">
        <f>VLOOKUP(D132,Lookups!$A$5:$E$10,2,FALSE)</f>
        <v/>
      </c>
      <c r="J132" s="24">
        <f>VLOOKUP(D132,Lookups!$A$5:$E$10,3,FALSE)</f>
        <v/>
      </c>
      <c r="K132" s="25">
        <f>VLOOKUP(D132,Lookups!$A$5:$E$10,4,FALSE)</f>
        <v/>
      </c>
      <c r="L132" s="25">
        <f>E132*K132*(1-F132)</f>
        <v/>
      </c>
      <c r="M132" s="25">
        <f>L132*VLOOKUP(D132,Lookups!$A$5:$E$10,5,FALSE)</f>
        <v/>
      </c>
    </row>
    <row r="133">
      <c r="A133" s="21" t="inlineStr">
        <is>
          <t>INV-10774</t>
        </is>
      </c>
      <c r="B133" s="22" t="n">
        <v>45702</v>
      </c>
      <c r="C133" s="21" t="inlineStr">
        <is>
          <t>R04</t>
        </is>
      </c>
      <c r="D133" s="21" t="inlineStr">
        <is>
          <t>P400</t>
        </is>
      </c>
      <c r="E133" s="21" t="n">
        <v>18</v>
      </c>
      <c r="F133" s="23" t="n">
        <v>0.05</v>
      </c>
      <c r="G133" s="24">
        <f>TEXT(B133,"mmm")</f>
        <v/>
      </c>
      <c r="H133" s="24">
        <f>HLOOKUP(C133,Lookups!$H$4:$K$5,2,FALSE)</f>
        <v/>
      </c>
      <c r="I133" s="24">
        <f>VLOOKUP(D133,Lookups!$A$5:$E$10,2,FALSE)</f>
        <v/>
      </c>
      <c r="J133" s="24">
        <f>VLOOKUP(D133,Lookups!$A$5:$E$10,3,FALSE)</f>
        <v/>
      </c>
      <c r="K133" s="25">
        <f>VLOOKUP(D133,Lookups!$A$5:$E$10,4,FALSE)</f>
        <v/>
      </c>
      <c r="L133" s="25">
        <f>E133*K133*(1-F133)</f>
        <v/>
      </c>
      <c r="M133" s="25">
        <f>L133*VLOOKUP(D133,Lookups!$A$5:$E$10,5,FALSE)</f>
        <v/>
      </c>
    </row>
    <row r="134">
      <c r="A134" s="21" t="inlineStr">
        <is>
          <t>INV-10454</t>
        </is>
      </c>
      <c r="B134" s="22" t="n">
        <v>45703</v>
      </c>
      <c r="C134" s="21" t="inlineStr">
        <is>
          <t>R02</t>
        </is>
      </c>
      <c r="D134" s="21" t="inlineStr">
        <is>
          <t>P600</t>
        </is>
      </c>
      <c r="E134" s="21" t="n">
        <v>18</v>
      </c>
      <c r="F134" s="23" t="n">
        <v>0</v>
      </c>
      <c r="G134" s="24">
        <f>TEXT(B134,"mmm")</f>
        <v/>
      </c>
      <c r="H134" s="24">
        <f>HLOOKUP(C134,Lookups!$H$4:$K$5,2,FALSE)</f>
        <v/>
      </c>
      <c r="I134" s="24">
        <f>VLOOKUP(D134,Lookups!$A$5:$E$10,2,FALSE)</f>
        <v/>
      </c>
      <c r="J134" s="24">
        <f>VLOOKUP(D134,Lookups!$A$5:$E$10,3,FALSE)</f>
        <v/>
      </c>
      <c r="K134" s="25">
        <f>VLOOKUP(D134,Lookups!$A$5:$E$10,4,FALSE)</f>
        <v/>
      </c>
      <c r="L134" s="25">
        <f>E134*K134*(1-F134)</f>
        <v/>
      </c>
      <c r="M134" s="25">
        <f>L134*VLOOKUP(D134,Lookups!$A$5:$E$10,5,FALSE)</f>
        <v/>
      </c>
    </row>
    <row r="135">
      <c r="A135" s="21" t="inlineStr">
        <is>
          <t>INV-10555</t>
        </is>
      </c>
      <c r="B135" s="22" t="n">
        <v>45703</v>
      </c>
      <c r="C135" s="21" t="inlineStr">
        <is>
          <t>R01</t>
        </is>
      </c>
      <c r="D135" s="21" t="inlineStr">
        <is>
          <t>P300</t>
        </is>
      </c>
      <c r="E135" s="21" t="n">
        <v>20</v>
      </c>
      <c r="F135" s="23" t="n">
        <v>0.05</v>
      </c>
      <c r="G135" s="24">
        <f>TEXT(B135,"mmm")</f>
        <v/>
      </c>
      <c r="H135" s="24">
        <f>HLOOKUP(C135,Lookups!$H$4:$K$5,2,FALSE)</f>
        <v/>
      </c>
      <c r="I135" s="24">
        <f>VLOOKUP(D135,Lookups!$A$5:$E$10,2,FALSE)</f>
        <v/>
      </c>
      <c r="J135" s="24">
        <f>VLOOKUP(D135,Lookups!$A$5:$E$10,3,FALSE)</f>
        <v/>
      </c>
      <c r="K135" s="25">
        <f>VLOOKUP(D135,Lookups!$A$5:$E$10,4,FALSE)</f>
        <v/>
      </c>
      <c r="L135" s="25">
        <f>E135*K135*(1-F135)</f>
        <v/>
      </c>
      <c r="M135" s="25">
        <f>L135*VLOOKUP(D135,Lookups!$A$5:$E$10,5,FALSE)</f>
        <v/>
      </c>
    </row>
    <row r="136">
      <c r="A136" s="21" t="inlineStr">
        <is>
          <t>INV-10874</t>
        </is>
      </c>
      <c r="B136" s="22" t="n">
        <v>45703</v>
      </c>
      <c r="C136" s="21" t="inlineStr">
        <is>
          <t>R04</t>
        </is>
      </c>
      <c r="D136" s="21" t="inlineStr">
        <is>
          <t>P400</t>
        </is>
      </c>
      <c r="E136" s="21" t="n">
        <v>11</v>
      </c>
      <c r="F136" s="23" t="n">
        <v>0</v>
      </c>
      <c r="G136" s="24">
        <f>TEXT(B136,"mmm")</f>
        <v/>
      </c>
      <c r="H136" s="24">
        <f>HLOOKUP(C136,Lookups!$H$4:$K$5,2,FALSE)</f>
        <v/>
      </c>
      <c r="I136" s="24">
        <f>VLOOKUP(D136,Lookups!$A$5:$E$10,2,FALSE)</f>
        <v/>
      </c>
      <c r="J136" s="24">
        <f>VLOOKUP(D136,Lookups!$A$5:$E$10,3,FALSE)</f>
        <v/>
      </c>
      <c r="K136" s="25">
        <f>VLOOKUP(D136,Lookups!$A$5:$E$10,4,FALSE)</f>
        <v/>
      </c>
      <c r="L136" s="25">
        <f>E136*K136*(1-F136)</f>
        <v/>
      </c>
      <c r="M136" s="25">
        <f>L136*VLOOKUP(D136,Lookups!$A$5:$E$10,5,FALSE)</f>
        <v/>
      </c>
    </row>
    <row r="137">
      <c r="A137" s="21" t="inlineStr">
        <is>
          <t>INV-10184</t>
        </is>
      </c>
      <c r="B137" s="22" t="n">
        <v>45704</v>
      </c>
      <c r="C137" s="21" t="inlineStr">
        <is>
          <t>R03</t>
        </is>
      </c>
      <c r="D137" s="21" t="inlineStr">
        <is>
          <t>P400</t>
        </is>
      </c>
      <c r="E137" s="21" t="n">
        <v>14</v>
      </c>
      <c r="F137" s="23" t="n">
        <v>0.05</v>
      </c>
      <c r="G137" s="24">
        <f>TEXT(B137,"mmm")</f>
        <v/>
      </c>
      <c r="H137" s="24">
        <f>HLOOKUP(C137,Lookups!$H$4:$K$5,2,FALSE)</f>
        <v/>
      </c>
      <c r="I137" s="24">
        <f>VLOOKUP(D137,Lookups!$A$5:$E$10,2,FALSE)</f>
        <v/>
      </c>
      <c r="J137" s="24">
        <f>VLOOKUP(D137,Lookups!$A$5:$E$10,3,FALSE)</f>
        <v/>
      </c>
      <c r="K137" s="25">
        <f>VLOOKUP(D137,Lookups!$A$5:$E$10,4,FALSE)</f>
        <v/>
      </c>
      <c r="L137" s="25">
        <f>E137*K137*(1-F137)</f>
        <v/>
      </c>
      <c r="M137" s="25">
        <f>L137*VLOOKUP(D137,Lookups!$A$5:$E$10,5,FALSE)</f>
        <v/>
      </c>
    </row>
    <row r="138">
      <c r="A138" s="21" t="inlineStr">
        <is>
          <t>INV-10232</t>
        </is>
      </c>
      <c r="B138" s="22" t="n">
        <v>45704</v>
      </c>
      <c r="C138" s="21" t="inlineStr">
        <is>
          <t>R03</t>
        </is>
      </c>
      <c r="D138" s="21" t="inlineStr">
        <is>
          <t>P300</t>
        </is>
      </c>
      <c r="E138" s="21" t="n">
        <v>24</v>
      </c>
      <c r="F138" s="23" t="n">
        <v>0.1</v>
      </c>
      <c r="G138" s="24">
        <f>TEXT(B138,"mmm")</f>
        <v/>
      </c>
      <c r="H138" s="24">
        <f>HLOOKUP(C138,Lookups!$H$4:$K$5,2,FALSE)</f>
        <v/>
      </c>
      <c r="I138" s="24">
        <f>VLOOKUP(D138,Lookups!$A$5:$E$10,2,FALSE)</f>
        <v/>
      </c>
      <c r="J138" s="24">
        <f>VLOOKUP(D138,Lookups!$A$5:$E$10,3,FALSE)</f>
        <v/>
      </c>
      <c r="K138" s="25">
        <f>VLOOKUP(D138,Lookups!$A$5:$E$10,4,FALSE)</f>
        <v/>
      </c>
      <c r="L138" s="25">
        <f>E138*K138*(1-F138)</f>
        <v/>
      </c>
      <c r="M138" s="25">
        <f>L138*VLOOKUP(D138,Lookups!$A$5:$E$10,5,FALSE)</f>
        <v/>
      </c>
    </row>
    <row r="139">
      <c r="A139" s="21" t="inlineStr">
        <is>
          <t>INV-10700</t>
        </is>
      </c>
      <c r="B139" s="22" t="n">
        <v>45704</v>
      </c>
      <c r="C139" s="21" t="inlineStr">
        <is>
          <t>R03</t>
        </is>
      </c>
      <c r="D139" s="21" t="inlineStr">
        <is>
          <t>P200</t>
        </is>
      </c>
      <c r="E139" s="21" t="n">
        <v>23</v>
      </c>
      <c r="F139" s="23" t="n">
        <v>0</v>
      </c>
      <c r="G139" s="24">
        <f>TEXT(B139,"mmm")</f>
        <v/>
      </c>
      <c r="H139" s="24">
        <f>HLOOKUP(C139,Lookups!$H$4:$K$5,2,FALSE)</f>
        <v/>
      </c>
      <c r="I139" s="24">
        <f>VLOOKUP(D139,Lookups!$A$5:$E$10,2,FALSE)</f>
        <v/>
      </c>
      <c r="J139" s="24">
        <f>VLOOKUP(D139,Lookups!$A$5:$E$10,3,FALSE)</f>
        <v/>
      </c>
      <c r="K139" s="25">
        <f>VLOOKUP(D139,Lookups!$A$5:$E$10,4,FALSE)</f>
        <v/>
      </c>
      <c r="L139" s="25">
        <f>E139*K139*(1-F139)</f>
        <v/>
      </c>
      <c r="M139" s="25">
        <f>L139*VLOOKUP(D139,Lookups!$A$5:$E$10,5,FALSE)</f>
        <v/>
      </c>
    </row>
    <row r="140">
      <c r="A140" s="21" t="inlineStr">
        <is>
          <t>INV-10053</t>
        </is>
      </c>
      <c r="B140" s="22" t="n">
        <v>45705</v>
      </c>
      <c r="C140" s="21" t="inlineStr">
        <is>
          <t>R02</t>
        </is>
      </c>
      <c r="D140" s="21" t="inlineStr">
        <is>
          <t>P200</t>
        </is>
      </c>
      <c r="E140" s="21" t="n">
        <v>14</v>
      </c>
      <c r="F140" s="23" t="n">
        <v>0.1</v>
      </c>
      <c r="G140" s="24">
        <f>TEXT(B140,"mmm")</f>
        <v/>
      </c>
      <c r="H140" s="24">
        <f>HLOOKUP(C140,Lookups!$H$4:$K$5,2,FALSE)</f>
        <v/>
      </c>
      <c r="I140" s="24">
        <f>VLOOKUP(D140,Lookups!$A$5:$E$10,2,FALSE)</f>
        <v/>
      </c>
      <c r="J140" s="24">
        <f>VLOOKUP(D140,Lookups!$A$5:$E$10,3,FALSE)</f>
        <v/>
      </c>
      <c r="K140" s="25">
        <f>VLOOKUP(D140,Lookups!$A$5:$E$10,4,FALSE)</f>
        <v/>
      </c>
      <c r="L140" s="25">
        <f>E140*K140*(1-F140)</f>
        <v/>
      </c>
      <c r="M140" s="25">
        <f>L140*VLOOKUP(D140,Lookups!$A$5:$E$10,5,FALSE)</f>
        <v/>
      </c>
    </row>
    <row r="141">
      <c r="A141" s="21" t="inlineStr">
        <is>
          <t>INV-10102</t>
        </is>
      </c>
      <c r="B141" s="22" t="n">
        <v>45705</v>
      </c>
      <c r="C141" s="21" t="inlineStr">
        <is>
          <t>R03</t>
        </is>
      </c>
      <c r="D141" s="21" t="inlineStr">
        <is>
          <t>P200</t>
        </is>
      </c>
      <c r="E141" s="21" t="n">
        <v>8</v>
      </c>
      <c r="F141" s="23" t="n">
        <v>0</v>
      </c>
      <c r="G141" s="24">
        <f>TEXT(B141,"mmm")</f>
        <v/>
      </c>
      <c r="H141" s="24">
        <f>HLOOKUP(C141,Lookups!$H$4:$K$5,2,FALSE)</f>
        <v/>
      </c>
      <c r="I141" s="24">
        <f>VLOOKUP(D141,Lookups!$A$5:$E$10,2,FALSE)</f>
        <v/>
      </c>
      <c r="J141" s="24">
        <f>VLOOKUP(D141,Lookups!$A$5:$E$10,3,FALSE)</f>
        <v/>
      </c>
      <c r="K141" s="25">
        <f>VLOOKUP(D141,Lookups!$A$5:$E$10,4,FALSE)</f>
        <v/>
      </c>
      <c r="L141" s="25">
        <f>E141*K141*(1-F141)</f>
        <v/>
      </c>
      <c r="M141" s="25">
        <f>L141*VLOOKUP(D141,Lookups!$A$5:$E$10,5,FALSE)</f>
        <v/>
      </c>
    </row>
    <row r="142">
      <c r="A142" s="21" t="inlineStr">
        <is>
          <t>INV-10151</t>
        </is>
      </c>
      <c r="B142" s="22" t="n">
        <v>45705</v>
      </c>
      <c r="C142" s="21" t="inlineStr">
        <is>
          <t>R02</t>
        </is>
      </c>
      <c r="D142" s="21" t="inlineStr">
        <is>
          <t>P300</t>
        </is>
      </c>
      <c r="E142" s="21" t="n">
        <v>13</v>
      </c>
      <c r="F142" s="23" t="n">
        <v>0</v>
      </c>
      <c r="G142" s="24">
        <f>TEXT(B142,"mmm")</f>
        <v/>
      </c>
      <c r="H142" s="24">
        <f>HLOOKUP(C142,Lookups!$H$4:$K$5,2,FALSE)</f>
        <v/>
      </c>
      <c r="I142" s="24">
        <f>VLOOKUP(D142,Lookups!$A$5:$E$10,2,FALSE)</f>
        <v/>
      </c>
      <c r="J142" s="24">
        <f>VLOOKUP(D142,Lookups!$A$5:$E$10,3,FALSE)</f>
        <v/>
      </c>
      <c r="K142" s="25">
        <f>VLOOKUP(D142,Lookups!$A$5:$E$10,4,FALSE)</f>
        <v/>
      </c>
      <c r="L142" s="25">
        <f>E142*K142*(1-F142)</f>
        <v/>
      </c>
      <c r="M142" s="25">
        <f>L142*VLOOKUP(D142,Lookups!$A$5:$E$10,5,FALSE)</f>
        <v/>
      </c>
    </row>
    <row r="143">
      <c r="A143" s="21" t="inlineStr">
        <is>
          <t>INV-10195</t>
        </is>
      </c>
      <c r="B143" s="22" t="n">
        <v>45705</v>
      </c>
      <c r="C143" s="21" t="inlineStr">
        <is>
          <t>R01</t>
        </is>
      </c>
      <c r="D143" s="21" t="inlineStr">
        <is>
          <t>P200</t>
        </is>
      </c>
      <c r="E143" s="21" t="n">
        <v>15</v>
      </c>
      <c r="F143" s="23" t="n">
        <v>0</v>
      </c>
      <c r="G143" s="24">
        <f>TEXT(B143,"mmm")</f>
        <v/>
      </c>
      <c r="H143" s="24">
        <f>HLOOKUP(C143,Lookups!$H$4:$K$5,2,FALSE)</f>
        <v/>
      </c>
      <c r="I143" s="24">
        <f>VLOOKUP(D143,Lookups!$A$5:$E$10,2,FALSE)</f>
        <v/>
      </c>
      <c r="J143" s="24">
        <f>VLOOKUP(D143,Lookups!$A$5:$E$10,3,FALSE)</f>
        <v/>
      </c>
      <c r="K143" s="25">
        <f>VLOOKUP(D143,Lookups!$A$5:$E$10,4,FALSE)</f>
        <v/>
      </c>
      <c r="L143" s="25">
        <f>E143*K143*(1-F143)</f>
        <v/>
      </c>
      <c r="M143" s="25">
        <f>L143*VLOOKUP(D143,Lookups!$A$5:$E$10,5,FALSE)</f>
        <v/>
      </c>
    </row>
    <row r="144">
      <c r="A144" s="21" t="inlineStr">
        <is>
          <t>INV-10273</t>
        </is>
      </c>
      <c r="B144" s="22" t="n">
        <v>45705</v>
      </c>
      <c r="C144" s="21" t="inlineStr">
        <is>
          <t>R01</t>
        </is>
      </c>
      <c r="D144" s="21" t="inlineStr">
        <is>
          <t>P400</t>
        </is>
      </c>
      <c r="E144" s="21" t="n">
        <v>24</v>
      </c>
      <c r="F144" s="23" t="n">
        <v>0.05</v>
      </c>
      <c r="G144" s="24">
        <f>TEXT(B144,"mmm")</f>
        <v/>
      </c>
      <c r="H144" s="24">
        <f>HLOOKUP(C144,Lookups!$H$4:$K$5,2,FALSE)</f>
        <v/>
      </c>
      <c r="I144" s="24">
        <f>VLOOKUP(D144,Lookups!$A$5:$E$10,2,FALSE)</f>
        <v/>
      </c>
      <c r="J144" s="24">
        <f>VLOOKUP(D144,Lookups!$A$5:$E$10,3,FALSE)</f>
        <v/>
      </c>
      <c r="K144" s="25">
        <f>VLOOKUP(D144,Lookups!$A$5:$E$10,4,FALSE)</f>
        <v/>
      </c>
      <c r="L144" s="25">
        <f>E144*K144*(1-F144)</f>
        <v/>
      </c>
      <c r="M144" s="25">
        <f>L144*VLOOKUP(D144,Lookups!$A$5:$E$10,5,FALSE)</f>
        <v/>
      </c>
    </row>
    <row r="145">
      <c r="A145" s="21" t="inlineStr">
        <is>
          <t>INV-10629</t>
        </is>
      </c>
      <c r="B145" s="22" t="n">
        <v>45705</v>
      </c>
      <c r="C145" s="21" t="inlineStr">
        <is>
          <t>R04</t>
        </is>
      </c>
      <c r="D145" s="21" t="inlineStr">
        <is>
          <t>P600</t>
        </is>
      </c>
      <c r="E145" s="21" t="n">
        <v>21</v>
      </c>
      <c r="F145" s="23" t="n">
        <v>0.05</v>
      </c>
      <c r="G145" s="24">
        <f>TEXT(B145,"mmm")</f>
        <v/>
      </c>
      <c r="H145" s="24">
        <f>HLOOKUP(C145,Lookups!$H$4:$K$5,2,FALSE)</f>
        <v/>
      </c>
      <c r="I145" s="24">
        <f>VLOOKUP(D145,Lookups!$A$5:$E$10,2,FALSE)</f>
        <v/>
      </c>
      <c r="J145" s="24">
        <f>VLOOKUP(D145,Lookups!$A$5:$E$10,3,FALSE)</f>
        <v/>
      </c>
      <c r="K145" s="25">
        <f>VLOOKUP(D145,Lookups!$A$5:$E$10,4,FALSE)</f>
        <v/>
      </c>
      <c r="L145" s="25">
        <f>E145*K145*(1-F145)</f>
        <v/>
      </c>
      <c r="M145" s="25">
        <f>L145*VLOOKUP(D145,Lookups!$A$5:$E$10,5,FALSE)</f>
        <v/>
      </c>
    </row>
    <row r="146">
      <c r="A146" s="21" t="inlineStr">
        <is>
          <t>INV-10637</t>
        </is>
      </c>
      <c r="B146" s="22" t="n">
        <v>45705</v>
      </c>
      <c r="C146" s="21" t="inlineStr">
        <is>
          <t>R03</t>
        </is>
      </c>
      <c r="D146" s="21" t="inlineStr">
        <is>
          <t>P600</t>
        </is>
      </c>
      <c r="E146" s="21" t="n">
        <v>9</v>
      </c>
      <c r="F146" s="23" t="n">
        <v>0</v>
      </c>
      <c r="G146" s="24">
        <f>TEXT(B146,"mmm")</f>
        <v/>
      </c>
      <c r="H146" s="24">
        <f>HLOOKUP(C146,Lookups!$H$4:$K$5,2,FALSE)</f>
        <v/>
      </c>
      <c r="I146" s="24">
        <f>VLOOKUP(D146,Lookups!$A$5:$E$10,2,FALSE)</f>
        <v/>
      </c>
      <c r="J146" s="24">
        <f>VLOOKUP(D146,Lookups!$A$5:$E$10,3,FALSE)</f>
        <v/>
      </c>
      <c r="K146" s="25">
        <f>VLOOKUP(D146,Lookups!$A$5:$E$10,4,FALSE)</f>
        <v/>
      </c>
      <c r="L146" s="25">
        <f>E146*K146*(1-F146)</f>
        <v/>
      </c>
      <c r="M146" s="25">
        <f>L146*VLOOKUP(D146,Lookups!$A$5:$E$10,5,FALSE)</f>
        <v/>
      </c>
    </row>
    <row r="147">
      <c r="A147" s="21" t="inlineStr">
        <is>
          <t>INV-10991</t>
        </is>
      </c>
      <c r="B147" s="22" t="n">
        <v>45705</v>
      </c>
      <c r="C147" s="21" t="inlineStr">
        <is>
          <t>R02</t>
        </is>
      </c>
      <c r="D147" s="21" t="inlineStr">
        <is>
          <t>P400</t>
        </is>
      </c>
      <c r="E147" s="21" t="n">
        <v>20</v>
      </c>
      <c r="F147" s="23" t="n">
        <v>0</v>
      </c>
      <c r="G147" s="24">
        <f>TEXT(B147,"mmm")</f>
        <v/>
      </c>
      <c r="H147" s="24">
        <f>HLOOKUP(C147,Lookups!$H$4:$K$5,2,FALSE)</f>
        <v/>
      </c>
      <c r="I147" s="24">
        <f>VLOOKUP(D147,Lookups!$A$5:$E$10,2,FALSE)</f>
        <v/>
      </c>
      <c r="J147" s="24">
        <f>VLOOKUP(D147,Lookups!$A$5:$E$10,3,FALSE)</f>
        <v/>
      </c>
      <c r="K147" s="25">
        <f>VLOOKUP(D147,Lookups!$A$5:$E$10,4,FALSE)</f>
        <v/>
      </c>
      <c r="L147" s="25">
        <f>E147*K147*(1-F147)</f>
        <v/>
      </c>
      <c r="M147" s="25">
        <f>L147*VLOOKUP(D147,Lookups!$A$5:$E$10,5,FALSE)</f>
        <v/>
      </c>
    </row>
    <row r="148">
      <c r="A148" s="21" t="inlineStr">
        <is>
          <t>INV-11100</t>
        </is>
      </c>
      <c r="B148" s="22" t="n">
        <v>45706</v>
      </c>
      <c r="C148" s="21" t="inlineStr">
        <is>
          <t>R02</t>
        </is>
      </c>
      <c r="D148" s="21" t="inlineStr">
        <is>
          <t>P500</t>
        </is>
      </c>
      <c r="E148" s="21" t="n">
        <v>16</v>
      </c>
      <c r="F148" s="23" t="n">
        <v>0.1</v>
      </c>
      <c r="G148" s="24">
        <f>TEXT(B148,"mmm")</f>
        <v/>
      </c>
      <c r="H148" s="24">
        <f>HLOOKUP(C148,Lookups!$H$4:$K$5,2,FALSE)</f>
        <v/>
      </c>
      <c r="I148" s="24">
        <f>VLOOKUP(D148,Lookups!$A$5:$E$10,2,FALSE)</f>
        <v/>
      </c>
      <c r="J148" s="24">
        <f>VLOOKUP(D148,Lookups!$A$5:$E$10,3,FALSE)</f>
        <v/>
      </c>
      <c r="K148" s="25">
        <f>VLOOKUP(D148,Lookups!$A$5:$E$10,4,FALSE)</f>
        <v/>
      </c>
      <c r="L148" s="25">
        <f>E148*K148*(1-F148)</f>
        <v/>
      </c>
      <c r="M148" s="25">
        <f>L148*VLOOKUP(D148,Lookups!$A$5:$E$10,5,FALSE)</f>
        <v/>
      </c>
    </row>
    <row r="149">
      <c r="A149" s="21" t="inlineStr">
        <is>
          <t>INV-11146</t>
        </is>
      </c>
      <c r="B149" s="22" t="n">
        <v>45706</v>
      </c>
      <c r="C149" s="21" t="inlineStr">
        <is>
          <t>R04</t>
        </is>
      </c>
      <c r="D149" s="21" t="inlineStr">
        <is>
          <t>P100</t>
        </is>
      </c>
      <c r="E149" s="21" t="n">
        <v>12</v>
      </c>
      <c r="F149" s="23" t="n">
        <v>0</v>
      </c>
      <c r="G149" s="24">
        <f>TEXT(B149,"mmm")</f>
        <v/>
      </c>
      <c r="H149" s="24">
        <f>HLOOKUP(C149,Lookups!$H$4:$K$5,2,FALSE)</f>
        <v/>
      </c>
      <c r="I149" s="24">
        <f>VLOOKUP(D149,Lookups!$A$5:$E$10,2,FALSE)</f>
        <v/>
      </c>
      <c r="J149" s="24">
        <f>VLOOKUP(D149,Lookups!$A$5:$E$10,3,FALSE)</f>
        <v/>
      </c>
      <c r="K149" s="25">
        <f>VLOOKUP(D149,Lookups!$A$5:$E$10,4,FALSE)</f>
        <v/>
      </c>
      <c r="L149" s="25">
        <f>E149*K149*(1-F149)</f>
        <v/>
      </c>
      <c r="M149" s="25">
        <f>L149*VLOOKUP(D149,Lookups!$A$5:$E$10,5,FALSE)</f>
        <v/>
      </c>
    </row>
    <row r="150">
      <c r="A150" s="21" t="inlineStr">
        <is>
          <t>INV-10009</t>
        </is>
      </c>
      <c r="B150" s="22" t="n">
        <v>45707</v>
      </c>
      <c r="C150" s="21" t="inlineStr">
        <is>
          <t>R03</t>
        </is>
      </c>
      <c r="D150" s="21" t="inlineStr">
        <is>
          <t>P300</t>
        </is>
      </c>
      <c r="E150" s="21" t="n">
        <v>20</v>
      </c>
      <c r="F150" s="23" t="n">
        <v>0.05</v>
      </c>
      <c r="G150" s="24">
        <f>TEXT(B150,"mmm")</f>
        <v/>
      </c>
      <c r="H150" s="24">
        <f>HLOOKUP(C150,Lookups!$H$4:$K$5,2,FALSE)</f>
        <v/>
      </c>
      <c r="I150" s="24">
        <f>VLOOKUP(D150,Lookups!$A$5:$E$10,2,FALSE)</f>
        <v/>
      </c>
      <c r="J150" s="24">
        <f>VLOOKUP(D150,Lookups!$A$5:$E$10,3,FALSE)</f>
        <v/>
      </c>
      <c r="K150" s="25">
        <f>VLOOKUP(D150,Lookups!$A$5:$E$10,4,FALSE)</f>
        <v/>
      </c>
      <c r="L150" s="25">
        <f>E150*K150*(1-F150)</f>
        <v/>
      </c>
      <c r="M150" s="25">
        <f>L150*VLOOKUP(D150,Lookups!$A$5:$E$10,5,FALSE)</f>
        <v/>
      </c>
    </row>
    <row r="151">
      <c r="A151" s="21" t="inlineStr">
        <is>
          <t>INV-10530</t>
        </is>
      </c>
      <c r="B151" s="22" t="n">
        <v>45707</v>
      </c>
      <c r="C151" s="21" t="inlineStr">
        <is>
          <t>R02</t>
        </is>
      </c>
      <c r="D151" s="21" t="inlineStr">
        <is>
          <t>P500</t>
        </is>
      </c>
      <c r="E151" s="21" t="n">
        <v>8</v>
      </c>
      <c r="F151" s="23" t="n">
        <v>0</v>
      </c>
      <c r="G151" s="24">
        <f>TEXT(B151,"mmm")</f>
        <v/>
      </c>
      <c r="H151" s="24">
        <f>HLOOKUP(C151,Lookups!$H$4:$K$5,2,FALSE)</f>
        <v/>
      </c>
      <c r="I151" s="24">
        <f>VLOOKUP(D151,Lookups!$A$5:$E$10,2,FALSE)</f>
        <v/>
      </c>
      <c r="J151" s="24">
        <f>VLOOKUP(D151,Lookups!$A$5:$E$10,3,FALSE)</f>
        <v/>
      </c>
      <c r="K151" s="25">
        <f>VLOOKUP(D151,Lookups!$A$5:$E$10,4,FALSE)</f>
        <v/>
      </c>
      <c r="L151" s="25">
        <f>E151*K151*(1-F151)</f>
        <v/>
      </c>
      <c r="M151" s="25">
        <f>L151*VLOOKUP(D151,Lookups!$A$5:$E$10,5,FALSE)</f>
        <v/>
      </c>
    </row>
    <row r="152">
      <c r="A152" s="21" t="inlineStr">
        <is>
          <t>INV-10344</t>
        </is>
      </c>
      <c r="B152" s="22" t="n">
        <v>45708</v>
      </c>
      <c r="C152" s="21" t="inlineStr">
        <is>
          <t>R03</t>
        </is>
      </c>
      <c r="D152" s="21" t="inlineStr">
        <is>
          <t>P600</t>
        </is>
      </c>
      <c r="E152" s="21" t="n">
        <v>5</v>
      </c>
      <c r="F152" s="23" t="n">
        <v>0</v>
      </c>
      <c r="G152" s="24">
        <f>TEXT(B152,"mmm")</f>
        <v/>
      </c>
      <c r="H152" s="24">
        <f>HLOOKUP(C152,Lookups!$H$4:$K$5,2,FALSE)</f>
        <v/>
      </c>
      <c r="I152" s="24">
        <f>VLOOKUP(D152,Lookups!$A$5:$E$10,2,FALSE)</f>
        <v/>
      </c>
      <c r="J152" s="24">
        <f>VLOOKUP(D152,Lookups!$A$5:$E$10,3,FALSE)</f>
        <v/>
      </c>
      <c r="K152" s="25">
        <f>VLOOKUP(D152,Lookups!$A$5:$E$10,4,FALSE)</f>
        <v/>
      </c>
      <c r="L152" s="25">
        <f>E152*K152*(1-F152)</f>
        <v/>
      </c>
      <c r="M152" s="25">
        <f>L152*VLOOKUP(D152,Lookups!$A$5:$E$10,5,FALSE)</f>
        <v/>
      </c>
    </row>
    <row r="153">
      <c r="A153" s="21" t="inlineStr">
        <is>
          <t>INV-10157</t>
        </is>
      </c>
      <c r="B153" s="22" t="n">
        <v>45709</v>
      </c>
      <c r="C153" s="21" t="inlineStr">
        <is>
          <t>R03</t>
        </is>
      </c>
      <c r="D153" s="21" t="inlineStr">
        <is>
          <t>P200</t>
        </is>
      </c>
      <c r="E153" s="21" t="n">
        <v>8</v>
      </c>
      <c r="F153" s="23" t="n">
        <v>0.05</v>
      </c>
      <c r="G153" s="24">
        <f>TEXT(B153,"mmm")</f>
        <v/>
      </c>
      <c r="H153" s="24">
        <f>HLOOKUP(C153,Lookups!$H$4:$K$5,2,FALSE)</f>
        <v/>
      </c>
      <c r="I153" s="24">
        <f>VLOOKUP(D153,Lookups!$A$5:$E$10,2,FALSE)</f>
        <v/>
      </c>
      <c r="J153" s="24">
        <f>VLOOKUP(D153,Lookups!$A$5:$E$10,3,FALSE)</f>
        <v/>
      </c>
      <c r="K153" s="25">
        <f>VLOOKUP(D153,Lookups!$A$5:$E$10,4,FALSE)</f>
        <v/>
      </c>
      <c r="L153" s="25">
        <f>E153*K153*(1-F153)</f>
        <v/>
      </c>
      <c r="M153" s="25">
        <f>L153*VLOOKUP(D153,Lookups!$A$5:$E$10,5,FALSE)</f>
        <v/>
      </c>
    </row>
    <row r="154">
      <c r="A154" s="21" t="inlineStr">
        <is>
          <t>INV-10208</t>
        </is>
      </c>
      <c r="B154" s="22" t="n">
        <v>45709</v>
      </c>
      <c r="C154" s="21" t="inlineStr">
        <is>
          <t>R04</t>
        </is>
      </c>
      <c r="D154" s="21" t="inlineStr">
        <is>
          <t>P500</t>
        </is>
      </c>
      <c r="E154" s="21" t="n">
        <v>1</v>
      </c>
      <c r="F154" s="23" t="n">
        <v>0</v>
      </c>
      <c r="G154" s="24">
        <f>TEXT(B154,"mmm")</f>
        <v/>
      </c>
      <c r="H154" s="24">
        <f>HLOOKUP(C154,Lookups!$H$4:$K$5,2,FALSE)</f>
        <v/>
      </c>
      <c r="I154" s="24">
        <f>VLOOKUP(D154,Lookups!$A$5:$E$10,2,FALSE)</f>
        <v/>
      </c>
      <c r="J154" s="24">
        <f>VLOOKUP(D154,Lookups!$A$5:$E$10,3,FALSE)</f>
        <v/>
      </c>
      <c r="K154" s="25">
        <f>VLOOKUP(D154,Lookups!$A$5:$E$10,4,FALSE)</f>
        <v/>
      </c>
      <c r="L154" s="25">
        <f>E154*K154*(1-F154)</f>
        <v/>
      </c>
      <c r="M154" s="25">
        <f>L154*VLOOKUP(D154,Lookups!$A$5:$E$10,5,FALSE)</f>
        <v/>
      </c>
    </row>
    <row r="155">
      <c r="A155" s="21" t="inlineStr">
        <is>
          <t>INV-10451</t>
        </is>
      </c>
      <c r="B155" s="22" t="n">
        <v>45709</v>
      </c>
      <c r="C155" s="21" t="inlineStr">
        <is>
          <t>R02</t>
        </is>
      </c>
      <c r="D155" s="21" t="inlineStr">
        <is>
          <t>P600</t>
        </is>
      </c>
      <c r="E155" s="21" t="n">
        <v>1</v>
      </c>
      <c r="F155" s="23" t="n">
        <v>0</v>
      </c>
      <c r="G155" s="24">
        <f>TEXT(B155,"mmm")</f>
        <v/>
      </c>
      <c r="H155" s="24">
        <f>HLOOKUP(C155,Lookups!$H$4:$K$5,2,FALSE)</f>
        <v/>
      </c>
      <c r="I155" s="24">
        <f>VLOOKUP(D155,Lookups!$A$5:$E$10,2,FALSE)</f>
        <v/>
      </c>
      <c r="J155" s="24">
        <f>VLOOKUP(D155,Lookups!$A$5:$E$10,3,FALSE)</f>
        <v/>
      </c>
      <c r="K155" s="25">
        <f>VLOOKUP(D155,Lookups!$A$5:$E$10,4,FALSE)</f>
        <v/>
      </c>
      <c r="L155" s="25">
        <f>E155*K155*(1-F155)</f>
        <v/>
      </c>
      <c r="M155" s="25">
        <f>L155*VLOOKUP(D155,Lookups!$A$5:$E$10,5,FALSE)</f>
        <v/>
      </c>
    </row>
    <row r="156">
      <c r="A156" s="21" t="inlineStr">
        <is>
          <t>INV-10493</t>
        </is>
      </c>
      <c r="B156" s="22" t="n">
        <v>45709</v>
      </c>
      <c r="C156" s="21" t="inlineStr">
        <is>
          <t>R01</t>
        </is>
      </c>
      <c r="D156" s="21" t="inlineStr">
        <is>
          <t>P500</t>
        </is>
      </c>
      <c r="E156" s="21" t="n">
        <v>15</v>
      </c>
      <c r="F156" s="23" t="n">
        <v>0</v>
      </c>
      <c r="G156" s="24">
        <f>TEXT(B156,"mmm")</f>
        <v/>
      </c>
      <c r="H156" s="24">
        <f>HLOOKUP(C156,Lookups!$H$4:$K$5,2,FALSE)</f>
        <v/>
      </c>
      <c r="I156" s="24">
        <f>VLOOKUP(D156,Lookups!$A$5:$E$10,2,FALSE)</f>
        <v/>
      </c>
      <c r="J156" s="24">
        <f>VLOOKUP(D156,Lookups!$A$5:$E$10,3,FALSE)</f>
        <v/>
      </c>
      <c r="K156" s="25">
        <f>VLOOKUP(D156,Lookups!$A$5:$E$10,4,FALSE)</f>
        <v/>
      </c>
      <c r="L156" s="25">
        <f>E156*K156*(1-F156)</f>
        <v/>
      </c>
      <c r="M156" s="25">
        <f>L156*VLOOKUP(D156,Lookups!$A$5:$E$10,5,FALSE)</f>
        <v/>
      </c>
    </row>
    <row r="157">
      <c r="A157" s="21" t="inlineStr">
        <is>
          <t>INV-10949</t>
        </is>
      </c>
      <c r="B157" s="22" t="n">
        <v>45709</v>
      </c>
      <c r="C157" s="21" t="inlineStr">
        <is>
          <t>R01</t>
        </is>
      </c>
      <c r="D157" s="21" t="inlineStr">
        <is>
          <t>P300</t>
        </is>
      </c>
      <c r="E157" s="21" t="n">
        <v>7</v>
      </c>
      <c r="F157" s="23" t="n">
        <v>0.05</v>
      </c>
      <c r="G157" s="24">
        <f>TEXT(B157,"mmm")</f>
        <v/>
      </c>
      <c r="H157" s="24">
        <f>HLOOKUP(C157,Lookups!$H$4:$K$5,2,FALSE)</f>
        <v/>
      </c>
      <c r="I157" s="24">
        <f>VLOOKUP(D157,Lookups!$A$5:$E$10,2,FALSE)</f>
        <v/>
      </c>
      <c r="J157" s="24">
        <f>VLOOKUP(D157,Lookups!$A$5:$E$10,3,FALSE)</f>
        <v/>
      </c>
      <c r="K157" s="25">
        <f>VLOOKUP(D157,Lookups!$A$5:$E$10,4,FALSE)</f>
        <v/>
      </c>
      <c r="L157" s="25">
        <f>E157*K157*(1-F157)</f>
        <v/>
      </c>
      <c r="M157" s="25">
        <f>L157*VLOOKUP(D157,Lookups!$A$5:$E$10,5,FALSE)</f>
        <v/>
      </c>
    </row>
    <row r="158">
      <c r="A158" s="21" t="inlineStr">
        <is>
          <t>INV-11006</t>
        </is>
      </c>
      <c r="B158" s="22" t="n">
        <v>45709</v>
      </c>
      <c r="C158" s="21" t="inlineStr">
        <is>
          <t>R04</t>
        </is>
      </c>
      <c r="D158" s="21" t="inlineStr">
        <is>
          <t>P200</t>
        </is>
      </c>
      <c r="E158" s="21" t="n">
        <v>11</v>
      </c>
      <c r="F158" s="23" t="n">
        <v>0</v>
      </c>
      <c r="G158" s="24">
        <f>TEXT(B158,"mmm")</f>
        <v/>
      </c>
      <c r="H158" s="24">
        <f>HLOOKUP(C158,Lookups!$H$4:$K$5,2,FALSE)</f>
        <v/>
      </c>
      <c r="I158" s="24">
        <f>VLOOKUP(D158,Lookups!$A$5:$E$10,2,FALSE)</f>
        <v/>
      </c>
      <c r="J158" s="24">
        <f>VLOOKUP(D158,Lookups!$A$5:$E$10,3,FALSE)</f>
        <v/>
      </c>
      <c r="K158" s="25">
        <f>VLOOKUP(D158,Lookups!$A$5:$E$10,4,FALSE)</f>
        <v/>
      </c>
      <c r="L158" s="25">
        <f>E158*K158*(1-F158)</f>
        <v/>
      </c>
      <c r="M158" s="25">
        <f>L158*VLOOKUP(D158,Lookups!$A$5:$E$10,5,FALSE)</f>
        <v/>
      </c>
    </row>
    <row r="159">
      <c r="A159" s="21" t="inlineStr">
        <is>
          <t>INV-11132</t>
        </is>
      </c>
      <c r="B159" s="22" t="n">
        <v>45709</v>
      </c>
      <c r="C159" s="21" t="inlineStr">
        <is>
          <t>R02</t>
        </is>
      </c>
      <c r="D159" s="21" t="inlineStr">
        <is>
          <t>P600</t>
        </is>
      </c>
      <c r="E159" s="21" t="n">
        <v>18</v>
      </c>
      <c r="F159" s="23" t="n">
        <v>0.1</v>
      </c>
      <c r="G159" s="24">
        <f>TEXT(B159,"mmm")</f>
        <v/>
      </c>
      <c r="H159" s="24">
        <f>HLOOKUP(C159,Lookups!$H$4:$K$5,2,FALSE)</f>
        <v/>
      </c>
      <c r="I159" s="24">
        <f>VLOOKUP(D159,Lookups!$A$5:$E$10,2,FALSE)</f>
        <v/>
      </c>
      <c r="J159" s="24">
        <f>VLOOKUP(D159,Lookups!$A$5:$E$10,3,FALSE)</f>
        <v/>
      </c>
      <c r="K159" s="25">
        <f>VLOOKUP(D159,Lookups!$A$5:$E$10,4,FALSE)</f>
        <v/>
      </c>
      <c r="L159" s="25">
        <f>E159*K159*(1-F159)</f>
        <v/>
      </c>
      <c r="M159" s="25">
        <f>L159*VLOOKUP(D159,Lookups!$A$5:$E$10,5,FALSE)</f>
        <v/>
      </c>
    </row>
    <row r="160">
      <c r="A160" s="21" t="inlineStr">
        <is>
          <t>INV-10137</t>
        </is>
      </c>
      <c r="B160" s="22" t="n">
        <v>45710</v>
      </c>
      <c r="C160" s="21" t="inlineStr">
        <is>
          <t>R03</t>
        </is>
      </c>
      <c r="D160" s="21" t="inlineStr">
        <is>
          <t>P600</t>
        </is>
      </c>
      <c r="E160" s="21" t="n">
        <v>22</v>
      </c>
      <c r="F160" s="23" t="n">
        <v>0</v>
      </c>
      <c r="G160" s="24">
        <f>TEXT(B160,"mmm")</f>
        <v/>
      </c>
      <c r="H160" s="24">
        <f>HLOOKUP(C160,Lookups!$H$4:$K$5,2,FALSE)</f>
        <v/>
      </c>
      <c r="I160" s="24">
        <f>VLOOKUP(D160,Lookups!$A$5:$E$10,2,FALSE)</f>
        <v/>
      </c>
      <c r="J160" s="24">
        <f>VLOOKUP(D160,Lookups!$A$5:$E$10,3,FALSE)</f>
        <v/>
      </c>
      <c r="K160" s="25">
        <f>VLOOKUP(D160,Lookups!$A$5:$E$10,4,FALSE)</f>
        <v/>
      </c>
      <c r="L160" s="25">
        <f>E160*K160*(1-F160)</f>
        <v/>
      </c>
      <c r="M160" s="25">
        <f>L160*VLOOKUP(D160,Lookups!$A$5:$E$10,5,FALSE)</f>
        <v/>
      </c>
    </row>
    <row r="161">
      <c r="A161" s="21" t="inlineStr">
        <is>
          <t>INV-10553</t>
        </is>
      </c>
      <c r="B161" s="22" t="n">
        <v>45710</v>
      </c>
      <c r="C161" s="21" t="inlineStr">
        <is>
          <t>R01</t>
        </is>
      </c>
      <c r="D161" s="21" t="inlineStr">
        <is>
          <t>P200</t>
        </is>
      </c>
      <c r="E161" s="21" t="n">
        <v>6</v>
      </c>
      <c r="F161" s="23" t="n">
        <v>0.1</v>
      </c>
      <c r="G161" s="24">
        <f>TEXT(B161,"mmm")</f>
        <v/>
      </c>
      <c r="H161" s="24">
        <f>HLOOKUP(C161,Lookups!$H$4:$K$5,2,FALSE)</f>
        <v/>
      </c>
      <c r="I161" s="24">
        <f>VLOOKUP(D161,Lookups!$A$5:$E$10,2,FALSE)</f>
        <v/>
      </c>
      <c r="J161" s="24">
        <f>VLOOKUP(D161,Lookups!$A$5:$E$10,3,FALSE)</f>
        <v/>
      </c>
      <c r="K161" s="25">
        <f>VLOOKUP(D161,Lookups!$A$5:$E$10,4,FALSE)</f>
        <v/>
      </c>
      <c r="L161" s="25">
        <f>E161*K161*(1-F161)</f>
        <v/>
      </c>
      <c r="M161" s="25">
        <f>L161*VLOOKUP(D161,Lookups!$A$5:$E$10,5,FALSE)</f>
        <v/>
      </c>
    </row>
    <row r="162">
      <c r="A162" s="21" t="inlineStr">
        <is>
          <t>INV-10674</t>
        </is>
      </c>
      <c r="B162" s="22" t="n">
        <v>45710</v>
      </c>
      <c r="C162" s="21" t="inlineStr">
        <is>
          <t>R01</t>
        </is>
      </c>
      <c r="D162" s="21" t="inlineStr">
        <is>
          <t>P500</t>
        </is>
      </c>
      <c r="E162" s="21" t="n">
        <v>8</v>
      </c>
      <c r="F162" s="23" t="n">
        <v>0</v>
      </c>
      <c r="G162" s="24">
        <f>TEXT(B162,"mmm")</f>
        <v/>
      </c>
      <c r="H162" s="24">
        <f>HLOOKUP(C162,Lookups!$H$4:$K$5,2,FALSE)</f>
        <v/>
      </c>
      <c r="I162" s="24">
        <f>VLOOKUP(D162,Lookups!$A$5:$E$10,2,FALSE)</f>
        <v/>
      </c>
      <c r="J162" s="24">
        <f>VLOOKUP(D162,Lookups!$A$5:$E$10,3,FALSE)</f>
        <v/>
      </c>
      <c r="K162" s="25">
        <f>VLOOKUP(D162,Lookups!$A$5:$E$10,4,FALSE)</f>
        <v/>
      </c>
      <c r="L162" s="25">
        <f>E162*K162*(1-F162)</f>
        <v/>
      </c>
      <c r="M162" s="25">
        <f>L162*VLOOKUP(D162,Lookups!$A$5:$E$10,5,FALSE)</f>
        <v/>
      </c>
    </row>
    <row r="163">
      <c r="A163" s="21" t="inlineStr">
        <is>
          <t>INV-10705</t>
        </is>
      </c>
      <c r="B163" s="22" t="n">
        <v>45710</v>
      </c>
      <c r="C163" s="21" t="inlineStr">
        <is>
          <t>R01</t>
        </is>
      </c>
      <c r="D163" s="21" t="inlineStr">
        <is>
          <t>P200</t>
        </is>
      </c>
      <c r="E163" s="21" t="n">
        <v>1</v>
      </c>
      <c r="F163" s="23" t="n">
        <v>0</v>
      </c>
      <c r="G163" s="24">
        <f>TEXT(B163,"mmm")</f>
        <v/>
      </c>
      <c r="H163" s="24">
        <f>HLOOKUP(C163,Lookups!$H$4:$K$5,2,FALSE)</f>
        <v/>
      </c>
      <c r="I163" s="24">
        <f>VLOOKUP(D163,Lookups!$A$5:$E$10,2,FALSE)</f>
        <v/>
      </c>
      <c r="J163" s="24">
        <f>VLOOKUP(D163,Lookups!$A$5:$E$10,3,FALSE)</f>
        <v/>
      </c>
      <c r="K163" s="25">
        <f>VLOOKUP(D163,Lookups!$A$5:$E$10,4,FALSE)</f>
        <v/>
      </c>
      <c r="L163" s="25">
        <f>E163*K163*(1-F163)</f>
        <v/>
      </c>
      <c r="M163" s="25">
        <f>L163*VLOOKUP(D163,Lookups!$A$5:$E$10,5,FALSE)</f>
        <v/>
      </c>
    </row>
    <row r="164">
      <c r="A164" s="21" t="inlineStr">
        <is>
          <t>INV-10688</t>
        </is>
      </c>
      <c r="B164" s="22" t="n">
        <v>45711</v>
      </c>
      <c r="C164" s="21" t="inlineStr">
        <is>
          <t>R02</t>
        </is>
      </c>
      <c r="D164" s="21" t="inlineStr">
        <is>
          <t>P200</t>
        </is>
      </c>
      <c r="E164" s="21" t="n">
        <v>14</v>
      </c>
      <c r="F164" s="23" t="n">
        <v>0.1</v>
      </c>
      <c r="G164" s="24">
        <f>TEXT(B164,"mmm")</f>
        <v/>
      </c>
      <c r="H164" s="24">
        <f>HLOOKUP(C164,Lookups!$H$4:$K$5,2,FALSE)</f>
        <v/>
      </c>
      <c r="I164" s="24">
        <f>VLOOKUP(D164,Lookups!$A$5:$E$10,2,FALSE)</f>
        <v/>
      </c>
      <c r="J164" s="24">
        <f>VLOOKUP(D164,Lookups!$A$5:$E$10,3,FALSE)</f>
        <v/>
      </c>
      <c r="K164" s="25">
        <f>VLOOKUP(D164,Lookups!$A$5:$E$10,4,FALSE)</f>
        <v/>
      </c>
      <c r="L164" s="25">
        <f>E164*K164*(1-F164)</f>
        <v/>
      </c>
      <c r="M164" s="25">
        <f>L164*VLOOKUP(D164,Lookups!$A$5:$E$10,5,FALSE)</f>
        <v/>
      </c>
    </row>
    <row r="165">
      <c r="A165" s="21" t="inlineStr">
        <is>
          <t>INV-10928</t>
        </is>
      </c>
      <c r="B165" s="22" t="n">
        <v>45711</v>
      </c>
      <c r="C165" s="21" t="inlineStr">
        <is>
          <t>R04</t>
        </is>
      </c>
      <c r="D165" s="21" t="inlineStr">
        <is>
          <t>P200</t>
        </is>
      </c>
      <c r="E165" s="21" t="n">
        <v>21</v>
      </c>
      <c r="F165" s="23" t="n">
        <v>0</v>
      </c>
      <c r="G165" s="24">
        <f>TEXT(B165,"mmm")</f>
        <v/>
      </c>
      <c r="H165" s="24">
        <f>HLOOKUP(C165,Lookups!$H$4:$K$5,2,FALSE)</f>
        <v/>
      </c>
      <c r="I165" s="24">
        <f>VLOOKUP(D165,Lookups!$A$5:$E$10,2,FALSE)</f>
        <v/>
      </c>
      <c r="J165" s="24">
        <f>VLOOKUP(D165,Lookups!$A$5:$E$10,3,FALSE)</f>
        <v/>
      </c>
      <c r="K165" s="25">
        <f>VLOOKUP(D165,Lookups!$A$5:$E$10,4,FALSE)</f>
        <v/>
      </c>
      <c r="L165" s="25">
        <f>E165*K165*(1-F165)</f>
        <v/>
      </c>
      <c r="M165" s="25">
        <f>L165*VLOOKUP(D165,Lookups!$A$5:$E$10,5,FALSE)</f>
        <v/>
      </c>
    </row>
    <row r="166">
      <c r="A166" s="21" t="inlineStr">
        <is>
          <t>INV-10071</t>
        </is>
      </c>
      <c r="B166" s="22" t="n">
        <v>45712</v>
      </c>
      <c r="C166" s="21" t="inlineStr">
        <is>
          <t>R02</t>
        </is>
      </c>
      <c r="D166" s="21" t="inlineStr">
        <is>
          <t>P600</t>
        </is>
      </c>
      <c r="E166" s="21" t="n">
        <v>9</v>
      </c>
      <c r="F166" s="23" t="n">
        <v>0.05</v>
      </c>
      <c r="G166" s="24">
        <f>TEXT(B166,"mmm")</f>
        <v/>
      </c>
      <c r="H166" s="24">
        <f>HLOOKUP(C166,Lookups!$H$4:$K$5,2,FALSE)</f>
        <v/>
      </c>
      <c r="I166" s="24">
        <f>VLOOKUP(D166,Lookups!$A$5:$E$10,2,FALSE)</f>
        <v/>
      </c>
      <c r="J166" s="24">
        <f>VLOOKUP(D166,Lookups!$A$5:$E$10,3,FALSE)</f>
        <v/>
      </c>
      <c r="K166" s="25">
        <f>VLOOKUP(D166,Lookups!$A$5:$E$10,4,FALSE)</f>
        <v/>
      </c>
      <c r="L166" s="25">
        <f>E166*K166*(1-F166)</f>
        <v/>
      </c>
      <c r="M166" s="25">
        <f>L166*VLOOKUP(D166,Lookups!$A$5:$E$10,5,FALSE)</f>
        <v/>
      </c>
    </row>
    <row r="167">
      <c r="A167" s="21" t="inlineStr">
        <is>
          <t>INV-10777</t>
        </is>
      </c>
      <c r="B167" s="22" t="n">
        <v>45712</v>
      </c>
      <c r="C167" s="21" t="inlineStr">
        <is>
          <t>R01</t>
        </is>
      </c>
      <c r="D167" s="21" t="inlineStr">
        <is>
          <t>P500</t>
        </is>
      </c>
      <c r="E167" s="21" t="n">
        <v>10</v>
      </c>
      <c r="F167" s="23" t="n">
        <v>0.05</v>
      </c>
      <c r="G167" s="24">
        <f>TEXT(B167,"mmm")</f>
        <v/>
      </c>
      <c r="H167" s="24">
        <f>HLOOKUP(C167,Lookups!$H$4:$K$5,2,FALSE)</f>
        <v/>
      </c>
      <c r="I167" s="24">
        <f>VLOOKUP(D167,Lookups!$A$5:$E$10,2,FALSE)</f>
        <v/>
      </c>
      <c r="J167" s="24">
        <f>VLOOKUP(D167,Lookups!$A$5:$E$10,3,FALSE)</f>
        <v/>
      </c>
      <c r="K167" s="25">
        <f>VLOOKUP(D167,Lookups!$A$5:$E$10,4,FALSE)</f>
        <v/>
      </c>
      <c r="L167" s="25">
        <f>E167*K167*(1-F167)</f>
        <v/>
      </c>
      <c r="M167" s="25">
        <f>L167*VLOOKUP(D167,Lookups!$A$5:$E$10,5,FALSE)</f>
        <v/>
      </c>
    </row>
    <row r="168">
      <c r="A168" s="21" t="inlineStr">
        <is>
          <t>INV-10846</t>
        </is>
      </c>
      <c r="B168" s="22" t="n">
        <v>45712</v>
      </c>
      <c r="C168" s="21" t="inlineStr">
        <is>
          <t>R02</t>
        </is>
      </c>
      <c r="D168" s="21" t="inlineStr">
        <is>
          <t>P400</t>
        </is>
      </c>
      <c r="E168" s="21" t="n">
        <v>20</v>
      </c>
      <c r="F168" s="23" t="n">
        <v>0</v>
      </c>
      <c r="G168" s="24">
        <f>TEXT(B168,"mmm")</f>
        <v/>
      </c>
      <c r="H168" s="24">
        <f>HLOOKUP(C168,Lookups!$H$4:$K$5,2,FALSE)</f>
        <v/>
      </c>
      <c r="I168" s="24">
        <f>VLOOKUP(D168,Lookups!$A$5:$E$10,2,FALSE)</f>
        <v/>
      </c>
      <c r="J168" s="24">
        <f>VLOOKUP(D168,Lookups!$A$5:$E$10,3,FALSE)</f>
        <v/>
      </c>
      <c r="K168" s="25">
        <f>VLOOKUP(D168,Lookups!$A$5:$E$10,4,FALSE)</f>
        <v/>
      </c>
      <c r="L168" s="25">
        <f>E168*K168*(1-F168)</f>
        <v/>
      </c>
      <c r="M168" s="25">
        <f>L168*VLOOKUP(D168,Lookups!$A$5:$E$10,5,FALSE)</f>
        <v/>
      </c>
    </row>
    <row r="169">
      <c r="A169" s="21" t="inlineStr">
        <is>
          <t>INV-10884</t>
        </is>
      </c>
      <c r="B169" s="22" t="n">
        <v>45712</v>
      </c>
      <c r="C169" s="21" t="inlineStr">
        <is>
          <t>R02</t>
        </is>
      </c>
      <c r="D169" s="21" t="inlineStr">
        <is>
          <t>P300</t>
        </is>
      </c>
      <c r="E169" s="21" t="n">
        <v>7</v>
      </c>
      <c r="F169" s="23" t="n">
        <v>0</v>
      </c>
      <c r="G169" s="24">
        <f>TEXT(B169,"mmm")</f>
        <v/>
      </c>
      <c r="H169" s="24">
        <f>HLOOKUP(C169,Lookups!$H$4:$K$5,2,FALSE)</f>
        <v/>
      </c>
      <c r="I169" s="24">
        <f>VLOOKUP(D169,Lookups!$A$5:$E$10,2,FALSE)</f>
        <v/>
      </c>
      <c r="J169" s="24">
        <f>VLOOKUP(D169,Lookups!$A$5:$E$10,3,FALSE)</f>
        <v/>
      </c>
      <c r="K169" s="25">
        <f>VLOOKUP(D169,Lookups!$A$5:$E$10,4,FALSE)</f>
        <v/>
      </c>
      <c r="L169" s="25">
        <f>E169*K169*(1-F169)</f>
        <v/>
      </c>
      <c r="M169" s="25">
        <f>L169*VLOOKUP(D169,Lookups!$A$5:$E$10,5,FALSE)</f>
        <v/>
      </c>
    </row>
    <row r="170">
      <c r="A170" s="21" t="inlineStr">
        <is>
          <t>INV-10417</t>
        </is>
      </c>
      <c r="B170" s="22" t="n">
        <v>45713</v>
      </c>
      <c r="C170" s="21" t="inlineStr">
        <is>
          <t>R02</t>
        </is>
      </c>
      <c r="D170" s="21" t="inlineStr">
        <is>
          <t>P400</t>
        </is>
      </c>
      <c r="E170" s="21" t="n">
        <v>9</v>
      </c>
      <c r="F170" s="23" t="n">
        <v>0.05</v>
      </c>
      <c r="G170" s="24">
        <f>TEXT(B170,"mmm")</f>
        <v/>
      </c>
      <c r="H170" s="24">
        <f>HLOOKUP(C170,Lookups!$H$4:$K$5,2,FALSE)</f>
        <v/>
      </c>
      <c r="I170" s="24">
        <f>VLOOKUP(D170,Lookups!$A$5:$E$10,2,FALSE)</f>
        <v/>
      </c>
      <c r="J170" s="24">
        <f>VLOOKUP(D170,Lookups!$A$5:$E$10,3,FALSE)</f>
        <v/>
      </c>
      <c r="K170" s="25">
        <f>VLOOKUP(D170,Lookups!$A$5:$E$10,4,FALSE)</f>
        <v/>
      </c>
      <c r="L170" s="25">
        <f>E170*K170*(1-F170)</f>
        <v/>
      </c>
      <c r="M170" s="25">
        <f>L170*VLOOKUP(D170,Lookups!$A$5:$E$10,5,FALSE)</f>
        <v/>
      </c>
    </row>
    <row r="171">
      <c r="A171" s="21" t="inlineStr">
        <is>
          <t>INV-10886</t>
        </is>
      </c>
      <c r="B171" s="22" t="n">
        <v>45713</v>
      </c>
      <c r="C171" s="21" t="inlineStr">
        <is>
          <t>R01</t>
        </is>
      </c>
      <c r="D171" s="21" t="inlineStr">
        <is>
          <t>P400</t>
        </is>
      </c>
      <c r="E171" s="21" t="n">
        <v>21</v>
      </c>
      <c r="F171" s="23" t="n">
        <v>0</v>
      </c>
      <c r="G171" s="24">
        <f>TEXT(B171,"mmm")</f>
        <v/>
      </c>
      <c r="H171" s="24">
        <f>HLOOKUP(C171,Lookups!$H$4:$K$5,2,FALSE)</f>
        <v/>
      </c>
      <c r="I171" s="24">
        <f>VLOOKUP(D171,Lookups!$A$5:$E$10,2,FALSE)</f>
        <v/>
      </c>
      <c r="J171" s="24">
        <f>VLOOKUP(D171,Lookups!$A$5:$E$10,3,FALSE)</f>
        <v/>
      </c>
      <c r="K171" s="25">
        <f>VLOOKUP(D171,Lookups!$A$5:$E$10,4,FALSE)</f>
        <v/>
      </c>
      <c r="L171" s="25">
        <f>E171*K171*(1-F171)</f>
        <v/>
      </c>
      <c r="M171" s="25">
        <f>L171*VLOOKUP(D171,Lookups!$A$5:$E$10,5,FALSE)</f>
        <v/>
      </c>
    </row>
    <row r="172">
      <c r="A172" s="21" t="inlineStr">
        <is>
          <t>INV-10025</t>
        </is>
      </c>
      <c r="B172" s="22" t="n">
        <v>45714</v>
      </c>
      <c r="C172" s="21" t="inlineStr">
        <is>
          <t>R02</t>
        </is>
      </c>
      <c r="D172" s="21" t="inlineStr">
        <is>
          <t>P200</t>
        </is>
      </c>
      <c r="E172" s="21" t="n">
        <v>22</v>
      </c>
      <c r="F172" s="23" t="n">
        <v>0.1</v>
      </c>
      <c r="G172" s="24">
        <f>TEXT(B172,"mmm")</f>
        <v/>
      </c>
      <c r="H172" s="24">
        <f>HLOOKUP(C172,Lookups!$H$4:$K$5,2,FALSE)</f>
        <v/>
      </c>
      <c r="I172" s="24">
        <f>VLOOKUP(D172,Lookups!$A$5:$E$10,2,FALSE)</f>
        <v/>
      </c>
      <c r="J172" s="24">
        <f>VLOOKUP(D172,Lookups!$A$5:$E$10,3,FALSE)</f>
        <v/>
      </c>
      <c r="K172" s="25">
        <f>VLOOKUP(D172,Lookups!$A$5:$E$10,4,FALSE)</f>
        <v/>
      </c>
      <c r="L172" s="25">
        <f>E172*K172*(1-F172)</f>
        <v/>
      </c>
      <c r="M172" s="25">
        <f>L172*VLOOKUP(D172,Lookups!$A$5:$E$10,5,FALSE)</f>
        <v/>
      </c>
    </row>
    <row r="173">
      <c r="A173" s="21" t="inlineStr">
        <is>
          <t>INV-10290</t>
        </is>
      </c>
      <c r="B173" s="22" t="n">
        <v>45714</v>
      </c>
      <c r="C173" s="21" t="inlineStr">
        <is>
          <t>R04</t>
        </is>
      </c>
      <c r="D173" s="21" t="inlineStr">
        <is>
          <t>P300</t>
        </is>
      </c>
      <c r="E173" s="21" t="n">
        <v>17</v>
      </c>
      <c r="F173" s="23" t="n">
        <v>0.05</v>
      </c>
      <c r="G173" s="24">
        <f>TEXT(B173,"mmm")</f>
        <v/>
      </c>
      <c r="H173" s="24">
        <f>HLOOKUP(C173,Lookups!$H$4:$K$5,2,FALSE)</f>
        <v/>
      </c>
      <c r="I173" s="24">
        <f>VLOOKUP(D173,Lookups!$A$5:$E$10,2,FALSE)</f>
        <v/>
      </c>
      <c r="J173" s="24">
        <f>VLOOKUP(D173,Lookups!$A$5:$E$10,3,FALSE)</f>
        <v/>
      </c>
      <c r="K173" s="25">
        <f>VLOOKUP(D173,Lookups!$A$5:$E$10,4,FALSE)</f>
        <v/>
      </c>
      <c r="L173" s="25">
        <f>E173*K173*(1-F173)</f>
        <v/>
      </c>
      <c r="M173" s="25">
        <f>L173*VLOOKUP(D173,Lookups!$A$5:$E$10,5,FALSE)</f>
        <v/>
      </c>
    </row>
    <row r="174">
      <c r="A174" s="21" t="inlineStr">
        <is>
          <t>INV-11123</t>
        </is>
      </c>
      <c r="B174" s="22" t="n">
        <v>45714</v>
      </c>
      <c r="C174" s="21" t="inlineStr">
        <is>
          <t>R01</t>
        </is>
      </c>
      <c r="D174" s="21" t="inlineStr">
        <is>
          <t>P100</t>
        </is>
      </c>
      <c r="E174" s="21" t="n">
        <v>2</v>
      </c>
      <c r="F174" s="23" t="n">
        <v>0</v>
      </c>
      <c r="G174" s="24">
        <f>TEXT(B174,"mmm")</f>
        <v/>
      </c>
      <c r="H174" s="24">
        <f>HLOOKUP(C174,Lookups!$H$4:$K$5,2,FALSE)</f>
        <v/>
      </c>
      <c r="I174" s="24">
        <f>VLOOKUP(D174,Lookups!$A$5:$E$10,2,FALSE)</f>
        <v/>
      </c>
      <c r="J174" s="24">
        <f>VLOOKUP(D174,Lookups!$A$5:$E$10,3,FALSE)</f>
        <v/>
      </c>
      <c r="K174" s="25">
        <f>VLOOKUP(D174,Lookups!$A$5:$E$10,4,FALSE)</f>
        <v/>
      </c>
      <c r="L174" s="25">
        <f>E174*K174*(1-F174)</f>
        <v/>
      </c>
      <c r="M174" s="25">
        <f>L174*VLOOKUP(D174,Lookups!$A$5:$E$10,5,FALSE)</f>
        <v/>
      </c>
    </row>
    <row r="175">
      <c r="A175" s="21" t="inlineStr">
        <is>
          <t>INV-10029</t>
        </is>
      </c>
      <c r="B175" s="22" t="n">
        <v>45715</v>
      </c>
      <c r="C175" s="21" t="inlineStr">
        <is>
          <t>R04</t>
        </is>
      </c>
      <c r="D175" s="21" t="inlineStr">
        <is>
          <t>P300</t>
        </is>
      </c>
      <c r="E175" s="21" t="n">
        <v>6</v>
      </c>
      <c r="F175" s="23" t="n">
        <v>0.1</v>
      </c>
      <c r="G175" s="24">
        <f>TEXT(B175,"mmm")</f>
        <v/>
      </c>
      <c r="H175" s="24">
        <f>HLOOKUP(C175,Lookups!$H$4:$K$5,2,FALSE)</f>
        <v/>
      </c>
      <c r="I175" s="24">
        <f>VLOOKUP(D175,Lookups!$A$5:$E$10,2,FALSE)</f>
        <v/>
      </c>
      <c r="J175" s="24">
        <f>VLOOKUP(D175,Lookups!$A$5:$E$10,3,FALSE)</f>
        <v/>
      </c>
      <c r="K175" s="25">
        <f>VLOOKUP(D175,Lookups!$A$5:$E$10,4,FALSE)</f>
        <v/>
      </c>
      <c r="L175" s="25">
        <f>E175*K175*(1-F175)</f>
        <v/>
      </c>
      <c r="M175" s="25">
        <f>L175*VLOOKUP(D175,Lookups!$A$5:$E$10,5,FALSE)</f>
        <v/>
      </c>
    </row>
    <row r="176">
      <c r="A176" s="21" t="inlineStr">
        <is>
          <t>INV-10077</t>
        </is>
      </c>
      <c r="B176" s="22" t="n">
        <v>45715</v>
      </c>
      <c r="C176" s="21" t="inlineStr">
        <is>
          <t>R02</t>
        </is>
      </c>
      <c r="D176" s="21" t="inlineStr">
        <is>
          <t>P100</t>
        </is>
      </c>
      <c r="E176" s="21" t="n">
        <v>18</v>
      </c>
      <c r="F176" s="23" t="n">
        <v>0</v>
      </c>
      <c r="G176" s="24">
        <f>TEXT(B176,"mmm")</f>
        <v/>
      </c>
      <c r="H176" s="24">
        <f>HLOOKUP(C176,Lookups!$H$4:$K$5,2,FALSE)</f>
        <v/>
      </c>
      <c r="I176" s="24">
        <f>VLOOKUP(D176,Lookups!$A$5:$E$10,2,FALSE)</f>
        <v/>
      </c>
      <c r="J176" s="24">
        <f>VLOOKUP(D176,Lookups!$A$5:$E$10,3,FALSE)</f>
        <v/>
      </c>
      <c r="K176" s="25">
        <f>VLOOKUP(D176,Lookups!$A$5:$E$10,4,FALSE)</f>
        <v/>
      </c>
      <c r="L176" s="25">
        <f>E176*K176*(1-F176)</f>
        <v/>
      </c>
      <c r="M176" s="25">
        <f>L176*VLOOKUP(D176,Lookups!$A$5:$E$10,5,FALSE)</f>
        <v/>
      </c>
    </row>
    <row r="177">
      <c r="A177" s="21" t="inlineStr">
        <is>
          <t>INV-10776</t>
        </is>
      </c>
      <c r="B177" s="22" t="n">
        <v>45715</v>
      </c>
      <c r="C177" s="21" t="inlineStr">
        <is>
          <t>R02</t>
        </is>
      </c>
      <c r="D177" s="21" t="inlineStr">
        <is>
          <t>P400</t>
        </is>
      </c>
      <c r="E177" s="21" t="n">
        <v>5</v>
      </c>
      <c r="F177" s="23" t="n">
        <v>0</v>
      </c>
      <c r="G177" s="24">
        <f>TEXT(B177,"mmm")</f>
        <v/>
      </c>
      <c r="H177" s="24">
        <f>HLOOKUP(C177,Lookups!$H$4:$K$5,2,FALSE)</f>
        <v/>
      </c>
      <c r="I177" s="24">
        <f>VLOOKUP(D177,Lookups!$A$5:$E$10,2,FALSE)</f>
        <v/>
      </c>
      <c r="J177" s="24">
        <f>VLOOKUP(D177,Lookups!$A$5:$E$10,3,FALSE)</f>
        <v/>
      </c>
      <c r="K177" s="25">
        <f>VLOOKUP(D177,Lookups!$A$5:$E$10,4,FALSE)</f>
        <v/>
      </c>
      <c r="L177" s="25">
        <f>E177*K177*(1-F177)</f>
        <v/>
      </c>
      <c r="M177" s="25">
        <f>L177*VLOOKUP(D177,Lookups!$A$5:$E$10,5,FALSE)</f>
        <v/>
      </c>
    </row>
    <row r="178">
      <c r="A178" s="21" t="inlineStr">
        <is>
          <t>INV-10865</t>
        </is>
      </c>
      <c r="B178" s="22" t="n">
        <v>45715</v>
      </c>
      <c r="C178" s="21" t="inlineStr">
        <is>
          <t>R04</t>
        </is>
      </c>
      <c r="D178" s="21" t="inlineStr">
        <is>
          <t>P400</t>
        </is>
      </c>
      <c r="E178" s="21" t="n">
        <v>2</v>
      </c>
      <c r="F178" s="23" t="n">
        <v>0</v>
      </c>
      <c r="G178" s="24">
        <f>TEXT(B178,"mmm")</f>
        <v/>
      </c>
      <c r="H178" s="24">
        <f>HLOOKUP(C178,Lookups!$H$4:$K$5,2,FALSE)</f>
        <v/>
      </c>
      <c r="I178" s="24">
        <f>VLOOKUP(D178,Lookups!$A$5:$E$10,2,FALSE)</f>
        <v/>
      </c>
      <c r="J178" s="24">
        <f>VLOOKUP(D178,Lookups!$A$5:$E$10,3,FALSE)</f>
        <v/>
      </c>
      <c r="K178" s="25">
        <f>VLOOKUP(D178,Lookups!$A$5:$E$10,4,FALSE)</f>
        <v/>
      </c>
      <c r="L178" s="25">
        <f>E178*K178*(1-F178)</f>
        <v/>
      </c>
      <c r="M178" s="25">
        <f>L178*VLOOKUP(D178,Lookups!$A$5:$E$10,5,FALSE)</f>
        <v/>
      </c>
    </row>
    <row r="179">
      <c r="A179" s="21" t="inlineStr">
        <is>
          <t>INV-10163</t>
        </is>
      </c>
      <c r="B179" s="22" t="n">
        <v>45716</v>
      </c>
      <c r="C179" s="21" t="inlineStr">
        <is>
          <t>R04</t>
        </is>
      </c>
      <c r="D179" s="21" t="inlineStr">
        <is>
          <t>P100</t>
        </is>
      </c>
      <c r="E179" s="21" t="n">
        <v>16</v>
      </c>
      <c r="F179" s="23" t="n">
        <v>0</v>
      </c>
      <c r="G179" s="24">
        <f>TEXT(B179,"mmm")</f>
        <v/>
      </c>
      <c r="H179" s="24">
        <f>HLOOKUP(C179,Lookups!$H$4:$K$5,2,FALSE)</f>
        <v/>
      </c>
      <c r="I179" s="24">
        <f>VLOOKUP(D179,Lookups!$A$5:$E$10,2,FALSE)</f>
        <v/>
      </c>
      <c r="J179" s="24">
        <f>VLOOKUP(D179,Lookups!$A$5:$E$10,3,FALSE)</f>
        <v/>
      </c>
      <c r="K179" s="25">
        <f>VLOOKUP(D179,Lookups!$A$5:$E$10,4,FALSE)</f>
        <v/>
      </c>
      <c r="L179" s="25">
        <f>E179*K179*(1-F179)</f>
        <v/>
      </c>
      <c r="M179" s="25">
        <f>L179*VLOOKUP(D179,Lookups!$A$5:$E$10,5,FALSE)</f>
        <v/>
      </c>
    </row>
    <row r="180">
      <c r="A180" s="21" t="inlineStr">
        <is>
          <t>INV-10279</t>
        </is>
      </c>
      <c r="B180" s="22" t="n">
        <v>45716</v>
      </c>
      <c r="C180" s="21" t="inlineStr">
        <is>
          <t>R02</t>
        </is>
      </c>
      <c r="D180" s="21" t="inlineStr">
        <is>
          <t>P300</t>
        </is>
      </c>
      <c r="E180" s="21" t="n">
        <v>14</v>
      </c>
      <c r="F180" s="23" t="n">
        <v>0</v>
      </c>
      <c r="G180" s="24">
        <f>TEXT(B180,"mmm")</f>
        <v/>
      </c>
      <c r="H180" s="24">
        <f>HLOOKUP(C180,Lookups!$H$4:$K$5,2,FALSE)</f>
        <v/>
      </c>
      <c r="I180" s="24">
        <f>VLOOKUP(D180,Lookups!$A$5:$E$10,2,FALSE)</f>
        <v/>
      </c>
      <c r="J180" s="24">
        <f>VLOOKUP(D180,Lookups!$A$5:$E$10,3,FALSE)</f>
        <v/>
      </c>
      <c r="K180" s="25">
        <f>VLOOKUP(D180,Lookups!$A$5:$E$10,4,FALSE)</f>
        <v/>
      </c>
      <c r="L180" s="25">
        <f>E180*K180*(1-F180)</f>
        <v/>
      </c>
      <c r="M180" s="25">
        <f>L180*VLOOKUP(D180,Lookups!$A$5:$E$10,5,FALSE)</f>
        <v/>
      </c>
    </row>
    <row r="181">
      <c r="A181" s="21" t="inlineStr">
        <is>
          <t>INV-10920</t>
        </is>
      </c>
      <c r="B181" s="22" t="n">
        <v>45716</v>
      </c>
      <c r="C181" s="21" t="inlineStr">
        <is>
          <t>R03</t>
        </is>
      </c>
      <c r="D181" s="21" t="inlineStr">
        <is>
          <t>P600</t>
        </is>
      </c>
      <c r="E181" s="21" t="n">
        <v>15</v>
      </c>
      <c r="F181" s="23" t="n">
        <v>0</v>
      </c>
      <c r="G181" s="24">
        <f>TEXT(B181,"mmm")</f>
        <v/>
      </c>
      <c r="H181" s="24">
        <f>HLOOKUP(C181,Lookups!$H$4:$K$5,2,FALSE)</f>
        <v/>
      </c>
      <c r="I181" s="24">
        <f>VLOOKUP(D181,Lookups!$A$5:$E$10,2,FALSE)</f>
        <v/>
      </c>
      <c r="J181" s="24">
        <f>VLOOKUP(D181,Lookups!$A$5:$E$10,3,FALSE)</f>
        <v/>
      </c>
      <c r="K181" s="25">
        <f>VLOOKUP(D181,Lookups!$A$5:$E$10,4,FALSE)</f>
        <v/>
      </c>
      <c r="L181" s="25">
        <f>E181*K181*(1-F181)</f>
        <v/>
      </c>
      <c r="M181" s="25">
        <f>L181*VLOOKUP(D181,Lookups!$A$5:$E$10,5,FALSE)</f>
        <v/>
      </c>
    </row>
    <row r="182">
      <c r="A182" s="21" t="inlineStr">
        <is>
          <t>INV-10584</t>
        </is>
      </c>
      <c r="B182" s="22" t="n">
        <v>45717</v>
      </c>
      <c r="C182" s="21" t="inlineStr">
        <is>
          <t>R02</t>
        </is>
      </c>
      <c r="D182" s="21" t="inlineStr">
        <is>
          <t>P600</t>
        </is>
      </c>
      <c r="E182" s="21" t="n">
        <v>12</v>
      </c>
      <c r="F182" s="23" t="n">
        <v>0.05</v>
      </c>
      <c r="G182" s="24">
        <f>TEXT(B182,"mmm")</f>
        <v/>
      </c>
      <c r="H182" s="24">
        <f>HLOOKUP(C182,Lookups!$H$4:$K$5,2,FALSE)</f>
        <v/>
      </c>
      <c r="I182" s="24">
        <f>VLOOKUP(D182,Lookups!$A$5:$E$10,2,FALSE)</f>
        <v/>
      </c>
      <c r="J182" s="24">
        <f>VLOOKUP(D182,Lookups!$A$5:$E$10,3,FALSE)</f>
        <v/>
      </c>
      <c r="K182" s="25">
        <f>VLOOKUP(D182,Lookups!$A$5:$E$10,4,FALSE)</f>
        <v/>
      </c>
      <c r="L182" s="25">
        <f>E182*K182*(1-F182)</f>
        <v/>
      </c>
      <c r="M182" s="25">
        <f>L182*VLOOKUP(D182,Lookups!$A$5:$E$10,5,FALSE)</f>
        <v/>
      </c>
    </row>
    <row r="183">
      <c r="A183" s="21" t="inlineStr">
        <is>
          <t>INV-10511</t>
        </is>
      </c>
      <c r="B183" s="22" t="n">
        <v>45718</v>
      </c>
      <c r="C183" s="21" t="inlineStr">
        <is>
          <t>R04</t>
        </is>
      </c>
      <c r="D183" s="21" t="inlineStr">
        <is>
          <t>P600</t>
        </is>
      </c>
      <c r="E183" s="21" t="n">
        <v>8</v>
      </c>
      <c r="F183" s="23" t="n">
        <v>0</v>
      </c>
      <c r="G183" s="24">
        <f>TEXT(B183,"mmm")</f>
        <v/>
      </c>
      <c r="H183" s="24">
        <f>HLOOKUP(C183,Lookups!$H$4:$K$5,2,FALSE)</f>
        <v/>
      </c>
      <c r="I183" s="24">
        <f>VLOOKUP(D183,Lookups!$A$5:$E$10,2,FALSE)</f>
        <v/>
      </c>
      <c r="J183" s="24">
        <f>VLOOKUP(D183,Lookups!$A$5:$E$10,3,FALSE)</f>
        <v/>
      </c>
      <c r="K183" s="25">
        <f>VLOOKUP(D183,Lookups!$A$5:$E$10,4,FALSE)</f>
        <v/>
      </c>
      <c r="L183" s="25">
        <f>E183*K183*(1-F183)</f>
        <v/>
      </c>
      <c r="M183" s="25">
        <f>L183*VLOOKUP(D183,Lookups!$A$5:$E$10,5,FALSE)</f>
        <v/>
      </c>
    </row>
    <row r="184">
      <c r="A184" s="21" t="inlineStr">
        <is>
          <t>INV-10617</t>
        </is>
      </c>
      <c r="B184" s="22" t="n">
        <v>45718</v>
      </c>
      <c r="C184" s="21" t="inlineStr">
        <is>
          <t>R02</t>
        </is>
      </c>
      <c r="D184" s="21" t="inlineStr">
        <is>
          <t>P200</t>
        </is>
      </c>
      <c r="E184" s="21" t="n">
        <v>24</v>
      </c>
      <c r="F184" s="23" t="n">
        <v>0.05</v>
      </c>
      <c r="G184" s="24">
        <f>TEXT(B184,"mmm")</f>
        <v/>
      </c>
      <c r="H184" s="24">
        <f>HLOOKUP(C184,Lookups!$H$4:$K$5,2,FALSE)</f>
        <v/>
      </c>
      <c r="I184" s="24">
        <f>VLOOKUP(D184,Lookups!$A$5:$E$10,2,FALSE)</f>
        <v/>
      </c>
      <c r="J184" s="24">
        <f>VLOOKUP(D184,Lookups!$A$5:$E$10,3,FALSE)</f>
        <v/>
      </c>
      <c r="K184" s="25">
        <f>VLOOKUP(D184,Lookups!$A$5:$E$10,4,FALSE)</f>
        <v/>
      </c>
      <c r="L184" s="25">
        <f>E184*K184*(1-F184)</f>
        <v/>
      </c>
      <c r="M184" s="25">
        <f>L184*VLOOKUP(D184,Lookups!$A$5:$E$10,5,FALSE)</f>
        <v/>
      </c>
    </row>
    <row r="185">
      <c r="A185" s="21" t="inlineStr">
        <is>
          <t>INV-10670</t>
        </is>
      </c>
      <c r="B185" s="22" t="n">
        <v>45718</v>
      </c>
      <c r="C185" s="21" t="inlineStr">
        <is>
          <t>R03</t>
        </is>
      </c>
      <c r="D185" s="21" t="inlineStr">
        <is>
          <t>P100</t>
        </is>
      </c>
      <c r="E185" s="21" t="n">
        <v>14</v>
      </c>
      <c r="F185" s="23" t="n">
        <v>0.05</v>
      </c>
      <c r="G185" s="24">
        <f>TEXT(B185,"mmm")</f>
        <v/>
      </c>
      <c r="H185" s="24">
        <f>HLOOKUP(C185,Lookups!$H$4:$K$5,2,FALSE)</f>
        <v/>
      </c>
      <c r="I185" s="24">
        <f>VLOOKUP(D185,Lookups!$A$5:$E$10,2,FALSE)</f>
        <v/>
      </c>
      <c r="J185" s="24">
        <f>VLOOKUP(D185,Lookups!$A$5:$E$10,3,FALSE)</f>
        <v/>
      </c>
      <c r="K185" s="25">
        <f>VLOOKUP(D185,Lookups!$A$5:$E$10,4,FALSE)</f>
        <v/>
      </c>
      <c r="L185" s="25">
        <f>E185*K185*(1-F185)</f>
        <v/>
      </c>
      <c r="M185" s="25">
        <f>L185*VLOOKUP(D185,Lookups!$A$5:$E$10,5,FALSE)</f>
        <v/>
      </c>
    </row>
    <row r="186">
      <c r="A186" s="21" t="inlineStr">
        <is>
          <t>INV-10040</t>
        </is>
      </c>
      <c r="B186" s="22" t="n">
        <v>45719</v>
      </c>
      <c r="C186" s="21" t="inlineStr">
        <is>
          <t>R02</t>
        </is>
      </c>
      <c r="D186" s="21" t="inlineStr">
        <is>
          <t>P200</t>
        </is>
      </c>
      <c r="E186" s="21" t="n">
        <v>3</v>
      </c>
      <c r="F186" s="23" t="n">
        <v>0.05</v>
      </c>
      <c r="G186" s="24">
        <f>TEXT(B186,"mmm")</f>
        <v/>
      </c>
      <c r="H186" s="24">
        <f>HLOOKUP(C186,Lookups!$H$4:$K$5,2,FALSE)</f>
        <v/>
      </c>
      <c r="I186" s="24">
        <f>VLOOKUP(D186,Lookups!$A$5:$E$10,2,FALSE)</f>
        <v/>
      </c>
      <c r="J186" s="24">
        <f>VLOOKUP(D186,Lookups!$A$5:$E$10,3,FALSE)</f>
        <v/>
      </c>
      <c r="K186" s="25">
        <f>VLOOKUP(D186,Lookups!$A$5:$E$10,4,FALSE)</f>
        <v/>
      </c>
      <c r="L186" s="25">
        <f>E186*K186*(1-F186)</f>
        <v/>
      </c>
      <c r="M186" s="25">
        <f>L186*VLOOKUP(D186,Lookups!$A$5:$E$10,5,FALSE)</f>
        <v/>
      </c>
    </row>
    <row r="187">
      <c r="A187" s="21" t="inlineStr">
        <is>
          <t>INV-10667</t>
        </is>
      </c>
      <c r="B187" s="22" t="n">
        <v>45719</v>
      </c>
      <c r="C187" s="21" t="inlineStr">
        <is>
          <t>R02</t>
        </is>
      </c>
      <c r="D187" s="21" t="inlineStr">
        <is>
          <t>P100</t>
        </is>
      </c>
      <c r="E187" s="21" t="n">
        <v>23</v>
      </c>
      <c r="F187" s="23" t="n">
        <v>0</v>
      </c>
      <c r="G187" s="24">
        <f>TEXT(B187,"mmm")</f>
        <v/>
      </c>
      <c r="H187" s="24">
        <f>HLOOKUP(C187,Lookups!$H$4:$K$5,2,FALSE)</f>
        <v/>
      </c>
      <c r="I187" s="24">
        <f>VLOOKUP(D187,Lookups!$A$5:$E$10,2,FALSE)</f>
        <v/>
      </c>
      <c r="J187" s="24">
        <f>VLOOKUP(D187,Lookups!$A$5:$E$10,3,FALSE)</f>
        <v/>
      </c>
      <c r="K187" s="25">
        <f>VLOOKUP(D187,Lookups!$A$5:$E$10,4,FALSE)</f>
        <v/>
      </c>
      <c r="L187" s="25">
        <f>E187*K187*(1-F187)</f>
        <v/>
      </c>
      <c r="M187" s="25">
        <f>L187*VLOOKUP(D187,Lookups!$A$5:$E$10,5,FALSE)</f>
        <v/>
      </c>
    </row>
    <row r="188">
      <c r="A188" s="21" t="inlineStr">
        <is>
          <t>INV-10698</t>
        </is>
      </c>
      <c r="B188" s="22" t="n">
        <v>45719</v>
      </c>
      <c r="C188" s="21" t="inlineStr">
        <is>
          <t>R03</t>
        </is>
      </c>
      <c r="D188" s="21" t="inlineStr">
        <is>
          <t>P500</t>
        </is>
      </c>
      <c r="E188" s="21" t="n">
        <v>25</v>
      </c>
      <c r="F188" s="23" t="n">
        <v>0</v>
      </c>
      <c r="G188" s="24">
        <f>TEXT(B188,"mmm")</f>
        <v/>
      </c>
      <c r="H188" s="24">
        <f>HLOOKUP(C188,Lookups!$H$4:$K$5,2,FALSE)</f>
        <v/>
      </c>
      <c r="I188" s="24">
        <f>VLOOKUP(D188,Lookups!$A$5:$E$10,2,FALSE)</f>
        <v/>
      </c>
      <c r="J188" s="24">
        <f>VLOOKUP(D188,Lookups!$A$5:$E$10,3,FALSE)</f>
        <v/>
      </c>
      <c r="K188" s="25">
        <f>VLOOKUP(D188,Lookups!$A$5:$E$10,4,FALSE)</f>
        <v/>
      </c>
      <c r="L188" s="25">
        <f>E188*K188*(1-F188)</f>
        <v/>
      </c>
      <c r="M188" s="25">
        <f>L188*VLOOKUP(D188,Lookups!$A$5:$E$10,5,FALSE)</f>
        <v/>
      </c>
    </row>
    <row r="189">
      <c r="A189" s="21" t="inlineStr">
        <is>
          <t>INV-10770</t>
        </is>
      </c>
      <c r="B189" s="22" t="n">
        <v>45719</v>
      </c>
      <c r="C189" s="21" t="inlineStr">
        <is>
          <t>R02</t>
        </is>
      </c>
      <c r="D189" s="21" t="inlineStr">
        <is>
          <t>P400</t>
        </is>
      </c>
      <c r="E189" s="21" t="n">
        <v>6</v>
      </c>
      <c r="F189" s="23" t="n">
        <v>0</v>
      </c>
      <c r="G189" s="24">
        <f>TEXT(B189,"mmm")</f>
        <v/>
      </c>
      <c r="H189" s="24">
        <f>HLOOKUP(C189,Lookups!$H$4:$K$5,2,FALSE)</f>
        <v/>
      </c>
      <c r="I189" s="24">
        <f>VLOOKUP(D189,Lookups!$A$5:$E$10,2,FALSE)</f>
        <v/>
      </c>
      <c r="J189" s="24">
        <f>VLOOKUP(D189,Lookups!$A$5:$E$10,3,FALSE)</f>
        <v/>
      </c>
      <c r="K189" s="25">
        <f>VLOOKUP(D189,Lookups!$A$5:$E$10,4,FALSE)</f>
        <v/>
      </c>
      <c r="L189" s="25">
        <f>E189*K189*(1-F189)</f>
        <v/>
      </c>
      <c r="M189" s="25">
        <f>L189*VLOOKUP(D189,Lookups!$A$5:$E$10,5,FALSE)</f>
        <v/>
      </c>
    </row>
    <row r="190">
      <c r="A190" s="21" t="inlineStr">
        <is>
          <t>INV-10193</t>
        </is>
      </c>
      <c r="B190" s="22" t="n">
        <v>45720</v>
      </c>
      <c r="C190" s="21" t="inlineStr">
        <is>
          <t>R02</t>
        </is>
      </c>
      <c r="D190" s="21" t="inlineStr">
        <is>
          <t>P100</t>
        </is>
      </c>
      <c r="E190" s="21" t="n">
        <v>23</v>
      </c>
      <c r="F190" s="23" t="n">
        <v>0</v>
      </c>
      <c r="G190" s="24">
        <f>TEXT(B190,"mmm")</f>
        <v/>
      </c>
      <c r="H190" s="24">
        <f>HLOOKUP(C190,Lookups!$H$4:$K$5,2,FALSE)</f>
        <v/>
      </c>
      <c r="I190" s="24">
        <f>VLOOKUP(D190,Lookups!$A$5:$E$10,2,FALSE)</f>
        <v/>
      </c>
      <c r="J190" s="24">
        <f>VLOOKUP(D190,Lookups!$A$5:$E$10,3,FALSE)</f>
        <v/>
      </c>
      <c r="K190" s="25">
        <f>VLOOKUP(D190,Lookups!$A$5:$E$10,4,FALSE)</f>
        <v/>
      </c>
      <c r="L190" s="25">
        <f>E190*K190*(1-F190)</f>
        <v/>
      </c>
      <c r="M190" s="25">
        <f>L190*VLOOKUP(D190,Lookups!$A$5:$E$10,5,FALSE)</f>
        <v/>
      </c>
    </row>
    <row r="191">
      <c r="A191" s="21" t="inlineStr">
        <is>
          <t>INV-10388</t>
        </is>
      </c>
      <c r="B191" s="22" t="n">
        <v>45720</v>
      </c>
      <c r="C191" s="21" t="inlineStr">
        <is>
          <t>R02</t>
        </is>
      </c>
      <c r="D191" s="21" t="inlineStr">
        <is>
          <t>P200</t>
        </is>
      </c>
      <c r="E191" s="21" t="n">
        <v>8</v>
      </c>
      <c r="F191" s="23" t="n">
        <v>0.1</v>
      </c>
      <c r="G191" s="24">
        <f>TEXT(B191,"mmm")</f>
        <v/>
      </c>
      <c r="H191" s="24">
        <f>HLOOKUP(C191,Lookups!$H$4:$K$5,2,FALSE)</f>
        <v/>
      </c>
      <c r="I191" s="24">
        <f>VLOOKUP(D191,Lookups!$A$5:$E$10,2,FALSE)</f>
        <v/>
      </c>
      <c r="J191" s="24">
        <f>VLOOKUP(D191,Lookups!$A$5:$E$10,3,FALSE)</f>
        <v/>
      </c>
      <c r="K191" s="25">
        <f>VLOOKUP(D191,Lookups!$A$5:$E$10,4,FALSE)</f>
        <v/>
      </c>
      <c r="L191" s="25">
        <f>E191*K191*(1-F191)</f>
        <v/>
      </c>
      <c r="M191" s="25">
        <f>L191*VLOOKUP(D191,Lookups!$A$5:$E$10,5,FALSE)</f>
        <v/>
      </c>
    </row>
    <row r="192">
      <c r="A192" s="21" t="inlineStr">
        <is>
          <t>INV-11098</t>
        </is>
      </c>
      <c r="B192" s="22" t="n">
        <v>45720</v>
      </c>
      <c r="C192" s="21" t="inlineStr">
        <is>
          <t>R02</t>
        </is>
      </c>
      <c r="D192" s="21" t="inlineStr">
        <is>
          <t>P600</t>
        </is>
      </c>
      <c r="E192" s="21" t="n">
        <v>13</v>
      </c>
      <c r="F192" s="23" t="n">
        <v>0.1</v>
      </c>
      <c r="G192" s="24">
        <f>TEXT(B192,"mmm")</f>
        <v/>
      </c>
      <c r="H192" s="24">
        <f>HLOOKUP(C192,Lookups!$H$4:$K$5,2,FALSE)</f>
        <v/>
      </c>
      <c r="I192" s="24">
        <f>VLOOKUP(D192,Lookups!$A$5:$E$10,2,FALSE)</f>
        <v/>
      </c>
      <c r="J192" s="24">
        <f>VLOOKUP(D192,Lookups!$A$5:$E$10,3,FALSE)</f>
        <v/>
      </c>
      <c r="K192" s="25">
        <f>VLOOKUP(D192,Lookups!$A$5:$E$10,4,FALSE)</f>
        <v/>
      </c>
      <c r="L192" s="25">
        <f>E192*K192*(1-F192)</f>
        <v/>
      </c>
      <c r="M192" s="25">
        <f>L192*VLOOKUP(D192,Lookups!$A$5:$E$10,5,FALSE)</f>
        <v/>
      </c>
    </row>
    <row r="193">
      <c r="A193" s="21" t="inlineStr">
        <is>
          <t>INV-10838</t>
        </is>
      </c>
      <c r="B193" s="22" t="n">
        <v>45721</v>
      </c>
      <c r="C193" s="21" t="inlineStr">
        <is>
          <t>R01</t>
        </is>
      </c>
      <c r="D193" s="21" t="inlineStr">
        <is>
          <t>P300</t>
        </is>
      </c>
      <c r="E193" s="21" t="n">
        <v>13</v>
      </c>
      <c r="F193" s="23" t="n">
        <v>0.05</v>
      </c>
      <c r="G193" s="24">
        <f>TEXT(B193,"mmm")</f>
        <v/>
      </c>
      <c r="H193" s="24">
        <f>HLOOKUP(C193,Lookups!$H$4:$K$5,2,FALSE)</f>
        <v/>
      </c>
      <c r="I193" s="24">
        <f>VLOOKUP(D193,Lookups!$A$5:$E$10,2,FALSE)</f>
        <v/>
      </c>
      <c r="J193" s="24">
        <f>VLOOKUP(D193,Lookups!$A$5:$E$10,3,FALSE)</f>
        <v/>
      </c>
      <c r="K193" s="25">
        <f>VLOOKUP(D193,Lookups!$A$5:$E$10,4,FALSE)</f>
        <v/>
      </c>
      <c r="L193" s="25">
        <f>E193*K193*(1-F193)</f>
        <v/>
      </c>
      <c r="M193" s="25">
        <f>L193*VLOOKUP(D193,Lookups!$A$5:$E$10,5,FALSE)</f>
        <v/>
      </c>
    </row>
    <row r="194">
      <c r="A194" s="21" t="inlineStr">
        <is>
          <t>INV-10207</t>
        </is>
      </c>
      <c r="B194" s="22" t="n">
        <v>45722</v>
      </c>
      <c r="C194" s="21" t="inlineStr">
        <is>
          <t>R03</t>
        </is>
      </c>
      <c r="D194" s="21" t="inlineStr">
        <is>
          <t>P500</t>
        </is>
      </c>
      <c r="E194" s="21" t="n">
        <v>4</v>
      </c>
      <c r="F194" s="23" t="n">
        <v>0.1</v>
      </c>
      <c r="G194" s="24">
        <f>TEXT(B194,"mmm")</f>
        <v/>
      </c>
      <c r="H194" s="24">
        <f>HLOOKUP(C194,Lookups!$H$4:$K$5,2,FALSE)</f>
        <v/>
      </c>
      <c r="I194" s="24">
        <f>VLOOKUP(D194,Lookups!$A$5:$E$10,2,FALSE)</f>
        <v/>
      </c>
      <c r="J194" s="24">
        <f>VLOOKUP(D194,Lookups!$A$5:$E$10,3,FALSE)</f>
        <v/>
      </c>
      <c r="K194" s="25">
        <f>VLOOKUP(D194,Lookups!$A$5:$E$10,4,FALSE)</f>
        <v/>
      </c>
      <c r="L194" s="25">
        <f>E194*K194*(1-F194)</f>
        <v/>
      </c>
      <c r="M194" s="25">
        <f>L194*VLOOKUP(D194,Lookups!$A$5:$E$10,5,FALSE)</f>
        <v/>
      </c>
    </row>
    <row r="195">
      <c r="A195" s="21" t="inlineStr">
        <is>
          <t>INV-10325</t>
        </is>
      </c>
      <c r="B195" s="22" t="n">
        <v>45723</v>
      </c>
      <c r="C195" s="21" t="inlineStr">
        <is>
          <t>R01</t>
        </is>
      </c>
      <c r="D195" s="21" t="inlineStr">
        <is>
          <t>P600</t>
        </is>
      </c>
      <c r="E195" s="21" t="n">
        <v>21</v>
      </c>
      <c r="F195" s="23" t="n">
        <v>0.1</v>
      </c>
      <c r="G195" s="24">
        <f>TEXT(B195,"mmm")</f>
        <v/>
      </c>
      <c r="H195" s="24">
        <f>HLOOKUP(C195,Lookups!$H$4:$K$5,2,FALSE)</f>
        <v/>
      </c>
      <c r="I195" s="24">
        <f>VLOOKUP(D195,Lookups!$A$5:$E$10,2,FALSE)</f>
        <v/>
      </c>
      <c r="J195" s="24">
        <f>VLOOKUP(D195,Lookups!$A$5:$E$10,3,FALSE)</f>
        <v/>
      </c>
      <c r="K195" s="25">
        <f>VLOOKUP(D195,Lookups!$A$5:$E$10,4,FALSE)</f>
        <v/>
      </c>
      <c r="L195" s="25">
        <f>E195*K195*(1-F195)</f>
        <v/>
      </c>
      <c r="M195" s="25">
        <f>L195*VLOOKUP(D195,Lookups!$A$5:$E$10,5,FALSE)</f>
        <v/>
      </c>
    </row>
    <row r="196">
      <c r="A196" s="21" t="inlineStr">
        <is>
          <t>INV-10709</t>
        </is>
      </c>
      <c r="B196" s="22" t="n">
        <v>45723</v>
      </c>
      <c r="C196" s="21" t="inlineStr">
        <is>
          <t>R03</t>
        </is>
      </c>
      <c r="D196" s="21" t="inlineStr">
        <is>
          <t>P100</t>
        </is>
      </c>
      <c r="E196" s="21" t="n">
        <v>4</v>
      </c>
      <c r="F196" s="23" t="n">
        <v>0</v>
      </c>
      <c r="G196" s="24">
        <f>TEXT(B196,"mmm")</f>
        <v/>
      </c>
      <c r="H196" s="24">
        <f>HLOOKUP(C196,Lookups!$H$4:$K$5,2,FALSE)</f>
        <v/>
      </c>
      <c r="I196" s="24">
        <f>VLOOKUP(D196,Lookups!$A$5:$E$10,2,FALSE)</f>
        <v/>
      </c>
      <c r="J196" s="24">
        <f>VLOOKUP(D196,Lookups!$A$5:$E$10,3,FALSE)</f>
        <v/>
      </c>
      <c r="K196" s="25">
        <f>VLOOKUP(D196,Lookups!$A$5:$E$10,4,FALSE)</f>
        <v/>
      </c>
      <c r="L196" s="25">
        <f>E196*K196*(1-F196)</f>
        <v/>
      </c>
      <c r="M196" s="25">
        <f>L196*VLOOKUP(D196,Lookups!$A$5:$E$10,5,FALSE)</f>
        <v/>
      </c>
    </row>
    <row r="197">
      <c r="A197" s="21" t="inlineStr">
        <is>
          <t>INV-10890</t>
        </is>
      </c>
      <c r="B197" s="22" t="n">
        <v>45723</v>
      </c>
      <c r="C197" s="21" t="inlineStr">
        <is>
          <t>R04</t>
        </is>
      </c>
      <c r="D197" s="21" t="inlineStr">
        <is>
          <t>P100</t>
        </is>
      </c>
      <c r="E197" s="21" t="n">
        <v>22</v>
      </c>
      <c r="F197" s="23" t="n">
        <v>0.05</v>
      </c>
      <c r="G197" s="24">
        <f>TEXT(B197,"mmm")</f>
        <v/>
      </c>
      <c r="H197" s="24">
        <f>HLOOKUP(C197,Lookups!$H$4:$K$5,2,FALSE)</f>
        <v/>
      </c>
      <c r="I197" s="24">
        <f>VLOOKUP(D197,Lookups!$A$5:$E$10,2,FALSE)</f>
        <v/>
      </c>
      <c r="J197" s="24">
        <f>VLOOKUP(D197,Lookups!$A$5:$E$10,3,FALSE)</f>
        <v/>
      </c>
      <c r="K197" s="25">
        <f>VLOOKUP(D197,Lookups!$A$5:$E$10,4,FALSE)</f>
        <v/>
      </c>
      <c r="L197" s="25">
        <f>E197*K197*(1-F197)</f>
        <v/>
      </c>
      <c r="M197" s="25">
        <f>L197*VLOOKUP(D197,Lookups!$A$5:$E$10,5,FALSE)</f>
        <v/>
      </c>
    </row>
    <row r="198">
      <c r="A198" s="21" t="inlineStr">
        <is>
          <t>INV-10274</t>
        </is>
      </c>
      <c r="B198" s="22" t="n">
        <v>45724</v>
      </c>
      <c r="C198" s="21" t="inlineStr">
        <is>
          <t>R01</t>
        </is>
      </c>
      <c r="D198" s="21" t="inlineStr">
        <is>
          <t>P500</t>
        </is>
      </c>
      <c r="E198" s="21" t="n">
        <v>19</v>
      </c>
      <c r="F198" s="23" t="n">
        <v>0.05</v>
      </c>
      <c r="G198" s="24">
        <f>TEXT(B198,"mmm")</f>
        <v/>
      </c>
      <c r="H198" s="24">
        <f>HLOOKUP(C198,Lookups!$H$4:$K$5,2,FALSE)</f>
        <v/>
      </c>
      <c r="I198" s="24">
        <f>VLOOKUP(D198,Lookups!$A$5:$E$10,2,FALSE)</f>
        <v/>
      </c>
      <c r="J198" s="24">
        <f>VLOOKUP(D198,Lookups!$A$5:$E$10,3,FALSE)</f>
        <v/>
      </c>
      <c r="K198" s="25">
        <f>VLOOKUP(D198,Lookups!$A$5:$E$10,4,FALSE)</f>
        <v/>
      </c>
      <c r="L198" s="25">
        <f>E198*K198*(1-F198)</f>
        <v/>
      </c>
      <c r="M198" s="25">
        <f>L198*VLOOKUP(D198,Lookups!$A$5:$E$10,5,FALSE)</f>
        <v/>
      </c>
    </row>
    <row r="199">
      <c r="A199" s="21" t="inlineStr">
        <is>
          <t>INV-10394</t>
        </is>
      </c>
      <c r="B199" s="22" t="n">
        <v>45724</v>
      </c>
      <c r="C199" s="21" t="inlineStr">
        <is>
          <t>R01</t>
        </is>
      </c>
      <c r="D199" s="21" t="inlineStr">
        <is>
          <t>P400</t>
        </is>
      </c>
      <c r="E199" s="21" t="n">
        <v>4</v>
      </c>
      <c r="F199" s="23" t="n">
        <v>0</v>
      </c>
      <c r="G199" s="24">
        <f>TEXT(B199,"mmm")</f>
        <v/>
      </c>
      <c r="H199" s="24">
        <f>HLOOKUP(C199,Lookups!$H$4:$K$5,2,FALSE)</f>
        <v/>
      </c>
      <c r="I199" s="24">
        <f>VLOOKUP(D199,Lookups!$A$5:$E$10,2,FALSE)</f>
        <v/>
      </c>
      <c r="J199" s="24">
        <f>VLOOKUP(D199,Lookups!$A$5:$E$10,3,FALSE)</f>
        <v/>
      </c>
      <c r="K199" s="25">
        <f>VLOOKUP(D199,Lookups!$A$5:$E$10,4,FALSE)</f>
        <v/>
      </c>
      <c r="L199" s="25">
        <f>E199*K199*(1-F199)</f>
        <v/>
      </c>
      <c r="M199" s="25">
        <f>L199*VLOOKUP(D199,Lookups!$A$5:$E$10,5,FALSE)</f>
        <v/>
      </c>
    </row>
    <row r="200">
      <c r="A200" s="21" t="inlineStr">
        <is>
          <t>INV-10827</t>
        </is>
      </c>
      <c r="B200" s="22" t="n">
        <v>45724</v>
      </c>
      <c r="C200" s="21" t="inlineStr">
        <is>
          <t>R04</t>
        </is>
      </c>
      <c r="D200" s="21" t="inlineStr">
        <is>
          <t>P500</t>
        </is>
      </c>
      <c r="E200" s="21" t="n">
        <v>21</v>
      </c>
      <c r="F200" s="23" t="n">
        <v>0.1</v>
      </c>
      <c r="G200" s="24">
        <f>TEXT(B200,"mmm")</f>
        <v/>
      </c>
      <c r="H200" s="24">
        <f>HLOOKUP(C200,Lookups!$H$4:$K$5,2,FALSE)</f>
        <v/>
      </c>
      <c r="I200" s="24">
        <f>VLOOKUP(D200,Lookups!$A$5:$E$10,2,FALSE)</f>
        <v/>
      </c>
      <c r="J200" s="24">
        <f>VLOOKUP(D200,Lookups!$A$5:$E$10,3,FALSE)</f>
        <v/>
      </c>
      <c r="K200" s="25">
        <f>VLOOKUP(D200,Lookups!$A$5:$E$10,4,FALSE)</f>
        <v/>
      </c>
      <c r="L200" s="25">
        <f>E200*K200*(1-F200)</f>
        <v/>
      </c>
      <c r="M200" s="25">
        <f>L200*VLOOKUP(D200,Lookups!$A$5:$E$10,5,FALSE)</f>
        <v/>
      </c>
    </row>
    <row r="201">
      <c r="A201" s="21" t="inlineStr">
        <is>
          <t>INV-10067</t>
        </is>
      </c>
      <c r="B201" s="22" t="n">
        <v>45725</v>
      </c>
      <c r="C201" s="21" t="inlineStr">
        <is>
          <t>R01</t>
        </is>
      </c>
      <c r="D201" s="21" t="inlineStr">
        <is>
          <t>P300</t>
        </is>
      </c>
      <c r="E201" s="21" t="n">
        <v>8</v>
      </c>
      <c r="F201" s="23" t="n">
        <v>0.05</v>
      </c>
      <c r="G201" s="24">
        <f>TEXT(B201,"mmm")</f>
        <v/>
      </c>
      <c r="H201" s="24">
        <f>HLOOKUP(C201,Lookups!$H$4:$K$5,2,FALSE)</f>
        <v/>
      </c>
      <c r="I201" s="24">
        <f>VLOOKUP(D201,Lookups!$A$5:$E$10,2,FALSE)</f>
        <v/>
      </c>
      <c r="J201" s="24">
        <f>VLOOKUP(D201,Lookups!$A$5:$E$10,3,FALSE)</f>
        <v/>
      </c>
      <c r="K201" s="25">
        <f>VLOOKUP(D201,Lookups!$A$5:$E$10,4,FALSE)</f>
        <v/>
      </c>
      <c r="L201" s="25">
        <f>E201*K201*(1-F201)</f>
        <v/>
      </c>
      <c r="M201" s="25">
        <f>L201*VLOOKUP(D201,Lookups!$A$5:$E$10,5,FALSE)</f>
        <v/>
      </c>
    </row>
    <row r="202">
      <c r="A202" s="21" t="inlineStr">
        <is>
          <t>INV-10257</t>
        </is>
      </c>
      <c r="B202" s="22" t="n">
        <v>45725</v>
      </c>
      <c r="C202" s="21" t="inlineStr">
        <is>
          <t>R03</t>
        </is>
      </c>
      <c r="D202" s="21" t="inlineStr">
        <is>
          <t>P100</t>
        </is>
      </c>
      <c r="E202" s="21" t="n">
        <v>8</v>
      </c>
      <c r="F202" s="23" t="n">
        <v>0.05</v>
      </c>
      <c r="G202" s="24">
        <f>TEXT(B202,"mmm")</f>
        <v/>
      </c>
      <c r="H202" s="24">
        <f>HLOOKUP(C202,Lookups!$H$4:$K$5,2,FALSE)</f>
        <v/>
      </c>
      <c r="I202" s="24">
        <f>VLOOKUP(D202,Lookups!$A$5:$E$10,2,FALSE)</f>
        <v/>
      </c>
      <c r="J202" s="24">
        <f>VLOOKUP(D202,Lookups!$A$5:$E$10,3,FALSE)</f>
        <v/>
      </c>
      <c r="K202" s="25">
        <f>VLOOKUP(D202,Lookups!$A$5:$E$10,4,FALSE)</f>
        <v/>
      </c>
      <c r="L202" s="25">
        <f>E202*K202*(1-F202)</f>
        <v/>
      </c>
      <c r="M202" s="25">
        <f>L202*VLOOKUP(D202,Lookups!$A$5:$E$10,5,FALSE)</f>
        <v/>
      </c>
    </row>
    <row r="203">
      <c r="A203" s="21" t="inlineStr">
        <is>
          <t>INV-10837</t>
        </is>
      </c>
      <c r="B203" s="22" t="n">
        <v>45725</v>
      </c>
      <c r="C203" s="21" t="inlineStr">
        <is>
          <t>R01</t>
        </is>
      </c>
      <c r="D203" s="21" t="inlineStr">
        <is>
          <t>P200</t>
        </is>
      </c>
      <c r="E203" s="21" t="n">
        <v>19</v>
      </c>
      <c r="F203" s="23" t="n">
        <v>0</v>
      </c>
      <c r="G203" s="24">
        <f>TEXT(B203,"mmm")</f>
        <v/>
      </c>
      <c r="H203" s="24">
        <f>HLOOKUP(C203,Lookups!$H$4:$K$5,2,FALSE)</f>
        <v/>
      </c>
      <c r="I203" s="24">
        <f>VLOOKUP(D203,Lookups!$A$5:$E$10,2,FALSE)</f>
        <v/>
      </c>
      <c r="J203" s="24">
        <f>VLOOKUP(D203,Lookups!$A$5:$E$10,3,FALSE)</f>
        <v/>
      </c>
      <c r="K203" s="25">
        <f>VLOOKUP(D203,Lookups!$A$5:$E$10,4,FALSE)</f>
        <v/>
      </c>
      <c r="L203" s="25">
        <f>E203*K203*(1-F203)</f>
        <v/>
      </c>
      <c r="M203" s="25">
        <f>L203*VLOOKUP(D203,Lookups!$A$5:$E$10,5,FALSE)</f>
        <v/>
      </c>
    </row>
    <row r="204">
      <c r="A204" s="21" t="inlineStr">
        <is>
          <t>INV-11072</t>
        </is>
      </c>
      <c r="B204" s="22" t="n">
        <v>45725</v>
      </c>
      <c r="C204" s="21" t="inlineStr">
        <is>
          <t>R02</t>
        </is>
      </c>
      <c r="D204" s="21" t="inlineStr">
        <is>
          <t>P500</t>
        </is>
      </c>
      <c r="E204" s="21" t="n">
        <v>1</v>
      </c>
      <c r="F204" s="23" t="n">
        <v>0</v>
      </c>
      <c r="G204" s="24">
        <f>TEXT(B204,"mmm")</f>
        <v/>
      </c>
      <c r="H204" s="24">
        <f>HLOOKUP(C204,Lookups!$H$4:$K$5,2,FALSE)</f>
        <v/>
      </c>
      <c r="I204" s="24">
        <f>VLOOKUP(D204,Lookups!$A$5:$E$10,2,FALSE)</f>
        <v/>
      </c>
      <c r="J204" s="24">
        <f>VLOOKUP(D204,Lookups!$A$5:$E$10,3,FALSE)</f>
        <v/>
      </c>
      <c r="K204" s="25">
        <f>VLOOKUP(D204,Lookups!$A$5:$E$10,4,FALSE)</f>
        <v/>
      </c>
      <c r="L204" s="25">
        <f>E204*K204*(1-F204)</f>
        <v/>
      </c>
      <c r="M204" s="25">
        <f>L204*VLOOKUP(D204,Lookups!$A$5:$E$10,5,FALSE)</f>
        <v/>
      </c>
    </row>
    <row r="205">
      <c r="A205" s="21" t="inlineStr">
        <is>
          <t>INV-11159</t>
        </is>
      </c>
      <c r="B205" s="22" t="n">
        <v>45725</v>
      </c>
      <c r="C205" s="21" t="inlineStr">
        <is>
          <t>R01</t>
        </is>
      </c>
      <c r="D205" s="21" t="inlineStr">
        <is>
          <t>P300</t>
        </is>
      </c>
      <c r="E205" s="21" t="n">
        <v>16</v>
      </c>
      <c r="F205" s="23" t="n">
        <v>0</v>
      </c>
      <c r="G205" s="24">
        <f>TEXT(B205,"mmm")</f>
        <v/>
      </c>
      <c r="H205" s="24">
        <f>HLOOKUP(C205,Lookups!$H$4:$K$5,2,FALSE)</f>
        <v/>
      </c>
      <c r="I205" s="24">
        <f>VLOOKUP(D205,Lookups!$A$5:$E$10,2,FALSE)</f>
        <v/>
      </c>
      <c r="J205" s="24">
        <f>VLOOKUP(D205,Lookups!$A$5:$E$10,3,FALSE)</f>
        <v/>
      </c>
      <c r="K205" s="25">
        <f>VLOOKUP(D205,Lookups!$A$5:$E$10,4,FALSE)</f>
        <v/>
      </c>
      <c r="L205" s="25">
        <f>E205*K205*(1-F205)</f>
        <v/>
      </c>
      <c r="M205" s="25">
        <f>L205*VLOOKUP(D205,Lookups!$A$5:$E$10,5,FALSE)</f>
        <v/>
      </c>
    </row>
    <row r="206">
      <c r="A206" s="21" t="inlineStr">
        <is>
          <t>INV-10109</t>
        </is>
      </c>
      <c r="B206" s="22" t="n">
        <v>45726</v>
      </c>
      <c r="C206" s="21" t="inlineStr">
        <is>
          <t>R03</t>
        </is>
      </c>
      <c r="D206" s="21" t="inlineStr">
        <is>
          <t>P400</t>
        </is>
      </c>
      <c r="E206" s="21" t="n">
        <v>25</v>
      </c>
      <c r="F206" s="23" t="n">
        <v>0.1</v>
      </c>
      <c r="G206" s="24">
        <f>TEXT(B206,"mmm")</f>
        <v/>
      </c>
      <c r="H206" s="24">
        <f>HLOOKUP(C206,Lookups!$H$4:$K$5,2,FALSE)</f>
        <v/>
      </c>
      <c r="I206" s="24">
        <f>VLOOKUP(D206,Lookups!$A$5:$E$10,2,FALSE)</f>
        <v/>
      </c>
      <c r="J206" s="24">
        <f>VLOOKUP(D206,Lookups!$A$5:$E$10,3,FALSE)</f>
        <v/>
      </c>
      <c r="K206" s="25">
        <f>VLOOKUP(D206,Lookups!$A$5:$E$10,4,FALSE)</f>
        <v/>
      </c>
      <c r="L206" s="25">
        <f>E206*K206*(1-F206)</f>
        <v/>
      </c>
      <c r="M206" s="25">
        <f>L206*VLOOKUP(D206,Lookups!$A$5:$E$10,5,FALSE)</f>
        <v/>
      </c>
    </row>
    <row r="207">
      <c r="A207" s="21" t="inlineStr">
        <is>
          <t>INV-10358</t>
        </is>
      </c>
      <c r="B207" s="22" t="n">
        <v>45726</v>
      </c>
      <c r="C207" s="21" t="inlineStr">
        <is>
          <t>R03</t>
        </is>
      </c>
      <c r="D207" s="21" t="inlineStr">
        <is>
          <t>P100</t>
        </is>
      </c>
      <c r="E207" s="21" t="n">
        <v>18</v>
      </c>
      <c r="F207" s="23" t="n">
        <v>0.05</v>
      </c>
      <c r="G207" s="24">
        <f>TEXT(B207,"mmm")</f>
        <v/>
      </c>
      <c r="H207" s="24">
        <f>HLOOKUP(C207,Lookups!$H$4:$K$5,2,FALSE)</f>
        <v/>
      </c>
      <c r="I207" s="24">
        <f>VLOOKUP(D207,Lookups!$A$5:$E$10,2,FALSE)</f>
        <v/>
      </c>
      <c r="J207" s="24">
        <f>VLOOKUP(D207,Lookups!$A$5:$E$10,3,FALSE)</f>
        <v/>
      </c>
      <c r="K207" s="25">
        <f>VLOOKUP(D207,Lookups!$A$5:$E$10,4,FALSE)</f>
        <v/>
      </c>
      <c r="L207" s="25">
        <f>E207*K207*(1-F207)</f>
        <v/>
      </c>
      <c r="M207" s="25">
        <f>L207*VLOOKUP(D207,Lookups!$A$5:$E$10,5,FALSE)</f>
        <v/>
      </c>
    </row>
    <row r="208">
      <c r="A208" s="21" t="inlineStr">
        <is>
          <t>INV-10893</t>
        </is>
      </c>
      <c r="B208" s="22" t="n">
        <v>45726</v>
      </c>
      <c r="C208" s="21" t="inlineStr">
        <is>
          <t>R04</t>
        </is>
      </c>
      <c r="D208" s="21" t="inlineStr">
        <is>
          <t>P200</t>
        </is>
      </c>
      <c r="E208" s="21" t="n">
        <v>20</v>
      </c>
      <c r="F208" s="23" t="n">
        <v>0.05</v>
      </c>
      <c r="G208" s="24">
        <f>TEXT(B208,"mmm")</f>
        <v/>
      </c>
      <c r="H208" s="24">
        <f>HLOOKUP(C208,Lookups!$H$4:$K$5,2,FALSE)</f>
        <v/>
      </c>
      <c r="I208" s="24">
        <f>VLOOKUP(D208,Lookups!$A$5:$E$10,2,FALSE)</f>
        <v/>
      </c>
      <c r="J208" s="24">
        <f>VLOOKUP(D208,Lookups!$A$5:$E$10,3,FALSE)</f>
        <v/>
      </c>
      <c r="K208" s="25">
        <f>VLOOKUP(D208,Lookups!$A$5:$E$10,4,FALSE)</f>
        <v/>
      </c>
      <c r="L208" s="25">
        <f>E208*K208*(1-F208)</f>
        <v/>
      </c>
      <c r="M208" s="25">
        <f>L208*VLOOKUP(D208,Lookups!$A$5:$E$10,5,FALSE)</f>
        <v/>
      </c>
    </row>
    <row r="209">
      <c r="A209" s="21" t="inlineStr">
        <is>
          <t>INV-10954</t>
        </is>
      </c>
      <c r="B209" s="22" t="n">
        <v>45726</v>
      </c>
      <c r="C209" s="21" t="inlineStr">
        <is>
          <t>R03</t>
        </is>
      </c>
      <c r="D209" s="21" t="inlineStr">
        <is>
          <t>P600</t>
        </is>
      </c>
      <c r="E209" s="21" t="n">
        <v>16</v>
      </c>
      <c r="F209" s="23" t="n">
        <v>0.1</v>
      </c>
      <c r="G209" s="24">
        <f>TEXT(B209,"mmm")</f>
        <v/>
      </c>
      <c r="H209" s="24">
        <f>HLOOKUP(C209,Lookups!$H$4:$K$5,2,FALSE)</f>
        <v/>
      </c>
      <c r="I209" s="24">
        <f>VLOOKUP(D209,Lookups!$A$5:$E$10,2,FALSE)</f>
        <v/>
      </c>
      <c r="J209" s="24">
        <f>VLOOKUP(D209,Lookups!$A$5:$E$10,3,FALSE)</f>
        <v/>
      </c>
      <c r="K209" s="25">
        <f>VLOOKUP(D209,Lookups!$A$5:$E$10,4,FALSE)</f>
        <v/>
      </c>
      <c r="L209" s="25">
        <f>E209*K209*(1-F209)</f>
        <v/>
      </c>
      <c r="M209" s="25">
        <f>L209*VLOOKUP(D209,Lookups!$A$5:$E$10,5,FALSE)</f>
        <v/>
      </c>
    </row>
    <row r="210">
      <c r="A210" s="21" t="inlineStr">
        <is>
          <t>INV-10962</t>
        </is>
      </c>
      <c r="B210" s="22" t="n">
        <v>45726</v>
      </c>
      <c r="C210" s="21" t="inlineStr">
        <is>
          <t>R01</t>
        </is>
      </c>
      <c r="D210" s="21" t="inlineStr">
        <is>
          <t>P400</t>
        </is>
      </c>
      <c r="E210" s="21" t="n">
        <v>13</v>
      </c>
      <c r="F210" s="23" t="n">
        <v>0.05</v>
      </c>
      <c r="G210" s="24">
        <f>TEXT(B210,"mmm")</f>
        <v/>
      </c>
      <c r="H210" s="24">
        <f>HLOOKUP(C210,Lookups!$H$4:$K$5,2,FALSE)</f>
        <v/>
      </c>
      <c r="I210" s="24">
        <f>VLOOKUP(D210,Lookups!$A$5:$E$10,2,FALSE)</f>
        <v/>
      </c>
      <c r="J210" s="24">
        <f>VLOOKUP(D210,Lookups!$A$5:$E$10,3,FALSE)</f>
        <v/>
      </c>
      <c r="K210" s="25">
        <f>VLOOKUP(D210,Lookups!$A$5:$E$10,4,FALSE)</f>
        <v/>
      </c>
      <c r="L210" s="25">
        <f>E210*K210*(1-F210)</f>
        <v/>
      </c>
      <c r="M210" s="25">
        <f>L210*VLOOKUP(D210,Lookups!$A$5:$E$10,5,FALSE)</f>
        <v/>
      </c>
    </row>
    <row r="211">
      <c r="A211" s="21" t="inlineStr">
        <is>
          <t>INV-10981</t>
        </is>
      </c>
      <c r="B211" s="22" t="n">
        <v>45726</v>
      </c>
      <c r="C211" s="21" t="inlineStr">
        <is>
          <t>R01</t>
        </is>
      </c>
      <c r="D211" s="21" t="inlineStr">
        <is>
          <t>P600</t>
        </is>
      </c>
      <c r="E211" s="21" t="n">
        <v>19</v>
      </c>
      <c r="F211" s="23" t="n">
        <v>0</v>
      </c>
      <c r="G211" s="24">
        <f>TEXT(B211,"mmm")</f>
        <v/>
      </c>
      <c r="H211" s="24">
        <f>HLOOKUP(C211,Lookups!$H$4:$K$5,2,FALSE)</f>
        <v/>
      </c>
      <c r="I211" s="24">
        <f>VLOOKUP(D211,Lookups!$A$5:$E$10,2,FALSE)</f>
        <v/>
      </c>
      <c r="J211" s="24">
        <f>VLOOKUP(D211,Lookups!$A$5:$E$10,3,FALSE)</f>
        <v/>
      </c>
      <c r="K211" s="25">
        <f>VLOOKUP(D211,Lookups!$A$5:$E$10,4,FALSE)</f>
        <v/>
      </c>
      <c r="L211" s="25">
        <f>E211*K211*(1-F211)</f>
        <v/>
      </c>
      <c r="M211" s="25">
        <f>L211*VLOOKUP(D211,Lookups!$A$5:$E$10,5,FALSE)</f>
        <v/>
      </c>
    </row>
    <row r="212">
      <c r="A212" s="21" t="inlineStr">
        <is>
          <t>INV-10563</t>
        </is>
      </c>
      <c r="B212" s="22" t="n">
        <v>45727</v>
      </c>
      <c r="C212" s="21" t="inlineStr">
        <is>
          <t>R01</t>
        </is>
      </c>
      <c r="D212" s="21" t="inlineStr">
        <is>
          <t>P300</t>
        </is>
      </c>
      <c r="E212" s="21" t="n">
        <v>13</v>
      </c>
      <c r="F212" s="23" t="n">
        <v>0.05</v>
      </c>
      <c r="G212" s="24">
        <f>TEXT(B212,"mmm")</f>
        <v/>
      </c>
      <c r="H212" s="24">
        <f>HLOOKUP(C212,Lookups!$H$4:$K$5,2,FALSE)</f>
        <v/>
      </c>
      <c r="I212" s="24">
        <f>VLOOKUP(D212,Lookups!$A$5:$E$10,2,FALSE)</f>
        <v/>
      </c>
      <c r="J212" s="24">
        <f>VLOOKUP(D212,Lookups!$A$5:$E$10,3,FALSE)</f>
        <v/>
      </c>
      <c r="K212" s="25">
        <f>VLOOKUP(D212,Lookups!$A$5:$E$10,4,FALSE)</f>
        <v/>
      </c>
      <c r="L212" s="25">
        <f>E212*K212*(1-F212)</f>
        <v/>
      </c>
      <c r="M212" s="25">
        <f>L212*VLOOKUP(D212,Lookups!$A$5:$E$10,5,FALSE)</f>
        <v/>
      </c>
    </row>
    <row r="213">
      <c r="A213" s="21" t="inlineStr">
        <is>
          <t>INV-10622</t>
        </is>
      </c>
      <c r="B213" s="22" t="n">
        <v>45727</v>
      </c>
      <c r="C213" s="21" t="inlineStr">
        <is>
          <t>R01</t>
        </is>
      </c>
      <c r="D213" s="21" t="inlineStr">
        <is>
          <t>P400</t>
        </is>
      </c>
      <c r="E213" s="21" t="n">
        <v>9</v>
      </c>
      <c r="F213" s="23" t="n">
        <v>0</v>
      </c>
      <c r="G213" s="24">
        <f>TEXT(B213,"mmm")</f>
        <v/>
      </c>
      <c r="H213" s="24">
        <f>HLOOKUP(C213,Lookups!$H$4:$K$5,2,FALSE)</f>
        <v/>
      </c>
      <c r="I213" s="24">
        <f>VLOOKUP(D213,Lookups!$A$5:$E$10,2,FALSE)</f>
        <v/>
      </c>
      <c r="J213" s="24">
        <f>VLOOKUP(D213,Lookups!$A$5:$E$10,3,FALSE)</f>
        <v/>
      </c>
      <c r="K213" s="25">
        <f>VLOOKUP(D213,Lookups!$A$5:$E$10,4,FALSE)</f>
        <v/>
      </c>
      <c r="L213" s="25">
        <f>E213*K213*(1-F213)</f>
        <v/>
      </c>
      <c r="M213" s="25">
        <f>L213*VLOOKUP(D213,Lookups!$A$5:$E$10,5,FALSE)</f>
        <v/>
      </c>
    </row>
    <row r="214">
      <c r="A214" s="21" t="inlineStr">
        <is>
          <t>INV-10734</t>
        </is>
      </c>
      <c r="B214" s="22" t="n">
        <v>45727</v>
      </c>
      <c r="C214" s="21" t="inlineStr">
        <is>
          <t>R04</t>
        </is>
      </c>
      <c r="D214" s="21" t="inlineStr">
        <is>
          <t>P200</t>
        </is>
      </c>
      <c r="E214" s="21" t="n">
        <v>21</v>
      </c>
      <c r="F214" s="23" t="n">
        <v>0.1</v>
      </c>
      <c r="G214" s="24">
        <f>TEXT(B214,"mmm")</f>
        <v/>
      </c>
      <c r="H214" s="24">
        <f>HLOOKUP(C214,Lookups!$H$4:$K$5,2,FALSE)</f>
        <v/>
      </c>
      <c r="I214" s="24">
        <f>VLOOKUP(D214,Lookups!$A$5:$E$10,2,FALSE)</f>
        <v/>
      </c>
      <c r="J214" s="24">
        <f>VLOOKUP(D214,Lookups!$A$5:$E$10,3,FALSE)</f>
        <v/>
      </c>
      <c r="K214" s="25">
        <f>VLOOKUP(D214,Lookups!$A$5:$E$10,4,FALSE)</f>
        <v/>
      </c>
      <c r="L214" s="25">
        <f>E214*K214*(1-F214)</f>
        <v/>
      </c>
      <c r="M214" s="25">
        <f>L214*VLOOKUP(D214,Lookups!$A$5:$E$10,5,FALSE)</f>
        <v/>
      </c>
    </row>
    <row r="215">
      <c r="A215" s="21" t="inlineStr">
        <is>
          <t>INV-10448</t>
        </is>
      </c>
      <c r="B215" s="22" t="n">
        <v>45728</v>
      </c>
      <c r="C215" s="21" t="inlineStr">
        <is>
          <t>R02</t>
        </is>
      </c>
      <c r="D215" s="21" t="inlineStr">
        <is>
          <t>P100</t>
        </is>
      </c>
      <c r="E215" s="21" t="n">
        <v>8</v>
      </c>
      <c r="F215" s="23" t="n">
        <v>0</v>
      </c>
      <c r="G215" s="24">
        <f>TEXT(B215,"mmm")</f>
        <v/>
      </c>
      <c r="H215" s="24">
        <f>HLOOKUP(C215,Lookups!$H$4:$K$5,2,FALSE)</f>
        <v/>
      </c>
      <c r="I215" s="24">
        <f>VLOOKUP(D215,Lookups!$A$5:$E$10,2,FALSE)</f>
        <v/>
      </c>
      <c r="J215" s="24">
        <f>VLOOKUP(D215,Lookups!$A$5:$E$10,3,FALSE)</f>
        <v/>
      </c>
      <c r="K215" s="25">
        <f>VLOOKUP(D215,Lookups!$A$5:$E$10,4,FALSE)</f>
        <v/>
      </c>
      <c r="L215" s="25">
        <f>E215*K215*(1-F215)</f>
        <v/>
      </c>
      <c r="M215" s="25">
        <f>L215*VLOOKUP(D215,Lookups!$A$5:$E$10,5,FALSE)</f>
        <v/>
      </c>
    </row>
    <row r="216">
      <c r="A216" s="21" t="inlineStr">
        <is>
          <t>INV-10822</t>
        </is>
      </c>
      <c r="B216" s="22" t="n">
        <v>45728</v>
      </c>
      <c r="C216" s="21" t="inlineStr">
        <is>
          <t>R03</t>
        </is>
      </c>
      <c r="D216" s="21" t="inlineStr">
        <is>
          <t>P200</t>
        </is>
      </c>
      <c r="E216" s="21" t="n">
        <v>14</v>
      </c>
      <c r="F216" s="23" t="n">
        <v>0.1</v>
      </c>
      <c r="G216" s="24">
        <f>TEXT(B216,"mmm")</f>
        <v/>
      </c>
      <c r="H216" s="24">
        <f>HLOOKUP(C216,Lookups!$H$4:$K$5,2,FALSE)</f>
        <v/>
      </c>
      <c r="I216" s="24">
        <f>VLOOKUP(D216,Lookups!$A$5:$E$10,2,FALSE)</f>
        <v/>
      </c>
      <c r="J216" s="24">
        <f>VLOOKUP(D216,Lookups!$A$5:$E$10,3,FALSE)</f>
        <v/>
      </c>
      <c r="K216" s="25">
        <f>VLOOKUP(D216,Lookups!$A$5:$E$10,4,FALSE)</f>
        <v/>
      </c>
      <c r="L216" s="25">
        <f>E216*K216*(1-F216)</f>
        <v/>
      </c>
      <c r="M216" s="25">
        <f>L216*VLOOKUP(D216,Lookups!$A$5:$E$10,5,FALSE)</f>
        <v/>
      </c>
    </row>
    <row r="217">
      <c r="A217" s="21" t="inlineStr">
        <is>
          <t>INV-11147</t>
        </is>
      </c>
      <c r="B217" s="22" t="n">
        <v>45728</v>
      </c>
      <c r="C217" s="21" t="inlineStr">
        <is>
          <t>R03</t>
        </is>
      </c>
      <c r="D217" s="21" t="inlineStr">
        <is>
          <t>P300</t>
        </is>
      </c>
      <c r="E217" s="21" t="n">
        <v>19</v>
      </c>
      <c r="F217" s="23" t="n">
        <v>0</v>
      </c>
      <c r="G217" s="24">
        <f>TEXT(B217,"mmm")</f>
        <v/>
      </c>
      <c r="H217" s="24">
        <f>HLOOKUP(C217,Lookups!$H$4:$K$5,2,FALSE)</f>
        <v/>
      </c>
      <c r="I217" s="24">
        <f>VLOOKUP(D217,Lookups!$A$5:$E$10,2,FALSE)</f>
        <v/>
      </c>
      <c r="J217" s="24">
        <f>VLOOKUP(D217,Lookups!$A$5:$E$10,3,FALSE)</f>
        <v/>
      </c>
      <c r="K217" s="25">
        <f>VLOOKUP(D217,Lookups!$A$5:$E$10,4,FALSE)</f>
        <v/>
      </c>
      <c r="L217" s="25">
        <f>E217*K217*(1-F217)</f>
        <v/>
      </c>
      <c r="M217" s="25">
        <f>L217*VLOOKUP(D217,Lookups!$A$5:$E$10,5,FALSE)</f>
        <v/>
      </c>
    </row>
    <row r="218">
      <c r="A218" s="21" t="inlineStr">
        <is>
          <t>INV-10022</t>
        </is>
      </c>
      <c r="B218" s="22" t="n">
        <v>45729</v>
      </c>
      <c r="C218" s="21" t="inlineStr">
        <is>
          <t>R03</t>
        </is>
      </c>
      <c r="D218" s="21" t="inlineStr">
        <is>
          <t>P200</t>
        </is>
      </c>
      <c r="E218" s="21" t="n">
        <v>24</v>
      </c>
      <c r="F218" s="23" t="n">
        <v>0.1</v>
      </c>
      <c r="G218" s="24">
        <f>TEXT(B218,"mmm")</f>
        <v/>
      </c>
      <c r="H218" s="24">
        <f>HLOOKUP(C218,Lookups!$H$4:$K$5,2,FALSE)</f>
        <v/>
      </c>
      <c r="I218" s="24">
        <f>VLOOKUP(D218,Lookups!$A$5:$E$10,2,FALSE)</f>
        <v/>
      </c>
      <c r="J218" s="24">
        <f>VLOOKUP(D218,Lookups!$A$5:$E$10,3,FALSE)</f>
        <v/>
      </c>
      <c r="K218" s="25">
        <f>VLOOKUP(D218,Lookups!$A$5:$E$10,4,FALSE)</f>
        <v/>
      </c>
      <c r="L218" s="25">
        <f>E218*K218*(1-F218)</f>
        <v/>
      </c>
      <c r="M218" s="25">
        <f>L218*VLOOKUP(D218,Lookups!$A$5:$E$10,5,FALSE)</f>
        <v/>
      </c>
    </row>
    <row r="219">
      <c r="A219" s="21" t="inlineStr">
        <is>
          <t>INV-10496</t>
        </is>
      </c>
      <c r="B219" s="22" t="n">
        <v>45729</v>
      </c>
      <c r="C219" s="21" t="inlineStr">
        <is>
          <t>R03</t>
        </is>
      </c>
      <c r="D219" s="21" t="inlineStr">
        <is>
          <t>P500</t>
        </is>
      </c>
      <c r="E219" s="21" t="n">
        <v>8</v>
      </c>
      <c r="F219" s="23" t="n">
        <v>0.05</v>
      </c>
      <c r="G219" s="24">
        <f>TEXT(B219,"mmm")</f>
        <v/>
      </c>
      <c r="H219" s="24">
        <f>HLOOKUP(C219,Lookups!$H$4:$K$5,2,FALSE)</f>
        <v/>
      </c>
      <c r="I219" s="24">
        <f>VLOOKUP(D219,Lookups!$A$5:$E$10,2,FALSE)</f>
        <v/>
      </c>
      <c r="J219" s="24">
        <f>VLOOKUP(D219,Lookups!$A$5:$E$10,3,FALSE)</f>
        <v/>
      </c>
      <c r="K219" s="25">
        <f>VLOOKUP(D219,Lookups!$A$5:$E$10,4,FALSE)</f>
        <v/>
      </c>
      <c r="L219" s="25">
        <f>E219*K219*(1-F219)</f>
        <v/>
      </c>
      <c r="M219" s="25">
        <f>L219*VLOOKUP(D219,Lookups!$A$5:$E$10,5,FALSE)</f>
        <v/>
      </c>
    </row>
    <row r="220">
      <c r="A220" s="21" t="inlineStr">
        <is>
          <t>INV-10573</t>
        </is>
      </c>
      <c r="B220" s="22" t="n">
        <v>45729</v>
      </c>
      <c r="C220" s="21" t="inlineStr">
        <is>
          <t>R03</t>
        </is>
      </c>
      <c r="D220" s="21" t="inlineStr">
        <is>
          <t>P600</t>
        </is>
      </c>
      <c r="E220" s="21" t="n">
        <v>8</v>
      </c>
      <c r="F220" s="23" t="n">
        <v>0.05</v>
      </c>
      <c r="G220" s="24">
        <f>TEXT(B220,"mmm")</f>
        <v/>
      </c>
      <c r="H220" s="24">
        <f>HLOOKUP(C220,Lookups!$H$4:$K$5,2,FALSE)</f>
        <v/>
      </c>
      <c r="I220" s="24">
        <f>VLOOKUP(D220,Lookups!$A$5:$E$10,2,FALSE)</f>
        <v/>
      </c>
      <c r="J220" s="24">
        <f>VLOOKUP(D220,Lookups!$A$5:$E$10,3,FALSE)</f>
        <v/>
      </c>
      <c r="K220" s="25">
        <f>VLOOKUP(D220,Lookups!$A$5:$E$10,4,FALSE)</f>
        <v/>
      </c>
      <c r="L220" s="25">
        <f>E220*K220*(1-F220)</f>
        <v/>
      </c>
      <c r="M220" s="25">
        <f>L220*VLOOKUP(D220,Lookups!$A$5:$E$10,5,FALSE)</f>
        <v/>
      </c>
    </row>
    <row r="221">
      <c r="A221" s="21" t="inlineStr">
        <is>
          <t>INV-10410</t>
        </is>
      </c>
      <c r="B221" s="22" t="n">
        <v>45730</v>
      </c>
      <c r="C221" s="21" t="inlineStr">
        <is>
          <t>R01</t>
        </is>
      </c>
      <c r="D221" s="21" t="inlineStr">
        <is>
          <t>P100</t>
        </is>
      </c>
      <c r="E221" s="21" t="n">
        <v>10</v>
      </c>
      <c r="F221" s="23" t="n">
        <v>0.1</v>
      </c>
      <c r="G221" s="24">
        <f>TEXT(B221,"mmm")</f>
        <v/>
      </c>
      <c r="H221" s="24">
        <f>HLOOKUP(C221,Lookups!$H$4:$K$5,2,FALSE)</f>
        <v/>
      </c>
      <c r="I221" s="24">
        <f>VLOOKUP(D221,Lookups!$A$5:$E$10,2,FALSE)</f>
        <v/>
      </c>
      <c r="J221" s="24">
        <f>VLOOKUP(D221,Lookups!$A$5:$E$10,3,FALSE)</f>
        <v/>
      </c>
      <c r="K221" s="25">
        <f>VLOOKUP(D221,Lookups!$A$5:$E$10,4,FALSE)</f>
        <v/>
      </c>
      <c r="L221" s="25">
        <f>E221*K221*(1-F221)</f>
        <v/>
      </c>
      <c r="M221" s="25">
        <f>L221*VLOOKUP(D221,Lookups!$A$5:$E$10,5,FALSE)</f>
        <v/>
      </c>
    </row>
    <row r="222">
      <c r="A222" s="21" t="inlineStr">
        <is>
          <t>INV-10352</t>
        </is>
      </c>
      <c r="B222" s="22" t="n">
        <v>45731</v>
      </c>
      <c r="C222" s="21" t="inlineStr">
        <is>
          <t>R04</t>
        </is>
      </c>
      <c r="D222" s="21" t="inlineStr">
        <is>
          <t>P300</t>
        </is>
      </c>
      <c r="E222" s="21" t="n">
        <v>1</v>
      </c>
      <c r="F222" s="23" t="n">
        <v>0.05</v>
      </c>
      <c r="G222" s="24">
        <f>TEXT(B222,"mmm")</f>
        <v/>
      </c>
      <c r="H222" s="24">
        <f>HLOOKUP(C222,Lookups!$H$4:$K$5,2,FALSE)</f>
        <v/>
      </c>
      <c r="I222" s="24">
        <f>VLOOKUP(D222,Lookups!$A$5:$E$10,2,FALSE)</f>
        <v/>
      </c>
      <c r="J222" s="24">
        <f>VLOOKUP(D222,Lookups!$A$5:$E$10,3,FALSE)</f>
        <v/>
      </c>
      <c r="K222" s="25">
        <f>VLOOKUP(D222,Lookups!$A$5:$E$10,4,FALSE)</f>
        <v/>
      </c>
      <c r="L222" s="25">
        <f>E222*K222*(1-F222)</f>
        <v/>
      </c>
      <c r="M222" s="25">
        <f>L222*VLOOKUP(D222,Lookups!$A$5:$E$10,5,FALSE)</f>
        <v/>
      </c>
    </row>
    <row r="223">
      <c r="A223" s="21" t="inlineStr">
        <is>
          <t>INV-10423</t>
        </is>
      </c>
      <c r="B223" s="22" t="n">
        <v>45731</v>
      </c>
      <c r="C223" s="21" t="inlineStr">
        <is>
          <t>R04</t>
        </is>
      </c>
      <c r="D223" s="21" t="inlineStr">
        <is>
          <t>P200</t>
        </is>
      </c>
      <c r="E223" s="21" t="n">
        <v>17</v>
      </c>
      <c r="F223" s="23" t="n">
        <v>0</v>
      </c>
      <c r="G223" s="24">
        <f>TEXT(B223,"mmm")</f>
        <v/>
      </c>
      <c r="H223" s="24">
        <f>HLOOKUP(C223,Lookups!$H$4:$K$5,2,FALSE)</f>
        <v/>
      </c>
      <c r="I223" s="24">
        <f>VLOOKUP(D223,Lookups!$A$5:$E$10,2,FALSE)</f>
        <v/>
      </c>
      <c r="J223" s="24">
        <f>VLOOKUP(D223,Lookups!$A$5:$E$10,3,FALSE)</f>
        <v/>
      </c>
      <c r="K223" s="25">
        <f>VLOOKUP(D223,Lookups!$A$5:$E$10,4,FALSE)</f>
        <v/>
      </c>
      <c r="L223" s="25">
        <f>E223*K223*(1-F223)</f>
        <v/>
      </c>
      <c r="M223" s="25">
        <f>L223*VLOOKUP(D223,Lookups!$A$5:$E$10,5,FALSE)</f>
        <v/>
      </c>
    </row>
    <row r="224">
      <c r="A224" s="21" t="inlineStr">
        <is>
          <t>INV-10498</t>
        </is>
      </c>
      <c r="B224" s="22" t="n">
        <v>45731</v>
      </c>
      <c r="C224" s="21" t="inlineStr">
        <is>
          <t>R02</t>
        </is>
      </c>
      <c r="D224" s="21" t="inlineStr">
        <is>
          <t>P600</t>
        </is>
      </c>
      <c r="E224" s="21" t="n">
        <v>14</v>
      </c>
      <c r="F224" s="23" t="n">
        <v>0.05</v>
      </c>
      <c r="G224" s="24">
        <f>TEXT(B224,"mmm")</f>
        <v/>
      </c>
      <c r="H224" s="24">
        <f>HLOOKUP(C224,Lookups!$H$4:$K$5,2,FALSE)</f>
        <v/>
      </c>
      <c r="I224" s="24">
        <f>VLOOKUP(D224,Lookups!$A$5:$E$10,2,FALSE)</f>
        <v/>
      </c>
      <c r="J224" s="24">
        <f>VLOOKUP(D224,Lookups!$A$5:$E$10,3,FALSE)</f>
        <v/>
      </c>
      <c r="K224" s="25">
        <f>VLOOKUP(D224,Lookups!$A$5:$E$10,4,FALSE)</f>
        <v/>
      </c>
      <c r="L224" s="25">
        <f>E224*K224*(1-F224)</f>
        <v/>
      </c>
      <c r="M224" s="25">
        <f>L224*VLOOKUP(D224,Lookups!$A$5:$E$10,5,FALSE)</f>
        <v/>
      </c>
    </row>
    <row r="225">
      <c r="A225" s="21" t="inlineStr">
        <is>
          <t>INV-10823</t>
        </is>
      </c>
      <c r="B225" s="22" t="n">
        <v>45731</v>
      </c>
      <c r="C225" s="21" t="inlineStr">
        <is>
          <t>R02</t>
        </is>
      </c>
      <c r="D225" s="21" t="inlineStr">
        <is>
          <t>P300</t>
        </is>
      </c>
      <c r="E225" s="21" t="n">
        <v>25</v>
      </c>
      <c r="F225" s="23" t="n">
        <v>0</v>
      </c>
      <c r="G225" s="24">
        <f>TEXT(B225,"mmm")</f>
        <v/>
      </c>
      <c r="H225" s="24">
        <f>HLOOKUP(C225,Lookups!$H$4:$K$5,2,FALSE)</f>
        <v/>
      </c>
      <c r="I225" s="24">
        <f>VLOOKUP(D225,Lookups!$A$5:$E$10,2,FALSE)</f>
        <v/>
      </c>
      <c r="J225" s="24">
        <f>VLOOKUP(D225,Lookups!$A$5:$E$10,3,FALSE)</f>
        <v/>
      </c>
      <c r="K225" s="25">
        <f>VLOOKUP(D225,Lookups!$A$5:$E$10,4,FALSE)</f>
        <v/>
      </c>
      <c r="L225" s="25">
        <f>E225*K225*(1-F225)</f>
        <v/>
      </c>
      <c r="M225" s="25">
        <f>L225*VLOOKUP(D225,Lookups!$A$5:$E$10,5,FALSE)</f>
        <v/>
      </c>
    </row>
    <row r="226">
      <c r="A226" s="21" t="inlineStr">
        <is>
          <t>INV-10217</t>
        </is>
      </c>
      <c r="B226" s="22" t="n">
        <v>45732</v>
      </c>
      <c r="C226" s="21" t="inlineStr">
        <is>
          <t>R04</t>
        </is>
      </c>
      <c r="D226" s="21" t="inlineStr">
        <is>
          <t>P200</t>
        </is>
      </c>
      <c r="E226" s="21" t="n">
        <v>19</v>
      </c>
      <c r="F226" s="23" t="n">
        <v>0</v>
      </c>
      <c r="G226" s="24">
        <f>TEXT(B226,"mmm")</f>
        <v/>
      </c>
      <c r="H226" s="24">
        <f>HLOOKUP(C226,Lookups!$H$4:$K$5,2,FALSE)</f>
        <v/>
      </c>
      <c r="I226" s="24">
        <f>VLOOKUP(D226,Lookups!$A$5:$E$10,2,FALSE)</f>
        <v/>
      </c>
      <c r="J226" s="24">
        <f>VLOOKUP(D226,Lookups!$A$5:$E$10,3,FALSE)</f>
        <v/>
      </c>
      <c r="K226" s="25">
        <f>VLOOKUP(D226,Lookups!$A$5:$E$10,4,FALSE)</f>
        <v/>
      </c>
      <c r="L226" s="25">
        <f>E226*K226*(1-F226)</f>
        <v/>
      </c>
      <c r="M226" s="25">
        <f>L226*VLOOKUP(D226,Lookups!$A$5:$E$10,5,FALSE)</f>
        <v/>
      </c>
    </row>
    <row r="227">
      <c r="A227" s="21" t="inlineStr">
        <is>
          <t>INV-10305</t>
        </is>
      </c>
      <c r="B227" s="22" t="n">
        <v>45732</v>
      </c>
      <c r="C227" s="21" t="inlineStr">
        <is>
          <t>R02</t>
        </is>
      </c>
      <c r="D227" s="21" t="inlineStr">
        <is>
          <t>P300</t>
        </is>
      </c>
      <c r="E227" s="21" t="n">
        <v>6</v>
      </c>
      <c r="F227" s="23" t="n">
        <v>0</v>
      </c>
      <c r="G227" s="24">
        <f>TEXT(B227,"mmm")</f>
        <v/>
      </c>
      <c r="H227" s="24">
        <f>HLOOKUP(C227,Lookups!$H$4:$K$5,2,FALSE)</f>
        <v/>
      </c>
      <c r="I227" s="24">
        <f>VLOOKUP(D227,Lookups!$A$5:$E$10,2,FALSE)</f>
        <v/>
      </c>
      <c r="J227" s="24">
        <f>VLOOKUP(D227,Lookups!$A$5:$E$10,3,FALSE)</f>
        <v/>
      </c>
      <c r="K227" s="25">
        <f>VLOOKUP(D227,Lookups!$A$5:$E$10,4,FALSE)</f>
        <v/>
      </c>
      <c r="L227" s="25">
        <f>E227*K227*(1-F227)</f>
        <v/>
      </c>
      <c r="M227" s="25">
        <f>L227*VLOOKUP(D227,Lookups!$A$5:$E$10,5,FALSE)</f>
        <v/>
      </c>
    </row>
    <row r="228">
      <c r="A228" s="21" t="inlineStr">
        <is>
          <t>INV-10445</t>
        </is>
      </c>
      <c r="B228" s="22" t="n">
        <v>45732</v>
      </c>
      <c r="C228" s="21" t="inlineStr">
        <is>
          <t>R01</t>
        </is>
      </c>
      <c r="D228" s="21" t="inlineStr">
        <is>
          <t>P300</t>
        </is>
      </c>
      <c r="E228" s="21" t="n">
        <v>10</v>
      </c>
      <c r="F228" s="23" t="n">
        <v>0</v>
      </c>
      <c r="G228" s="24">
        <f>TEXT(B228,"mmm")</f>
        <v/>
      </c>
      <c r="H228" s="24">
        <f>HLOOKUP(C228,Lookups!$H$4:$K$5,2,FALSE)</f>
        <v/>
      </c>
      <c r="I228" s="24">
        <f>VLOOKUP(D228,Lookups!$A$5:$E$10,2,FALSE)</f>
        <v/>
      </c>
      <c r="J228" s="24">
        <f>VLOOKUP(D228,Lookups!$A$5:$E$10,3,FALSE)</f>
        <v/>
      </c>
      <c r="K228" s="25">
        <f>VLOOKUP(D228,Lookups!$A$5:$E$10,4,FALSE)</f>
        <v/>
      </c>
      <c r="L228" s="25">
        <f>E228*K228*(1-F228)</f>
        <v/>
      </c>
      <c r="M228" s="25">
        <f>L228*VLOOKUP(D228,Lookups!$A$5:$E$10,5,FALSE)</f>
        <v/>
      </c>
    </row>
    <row r="229">
      <c r="A229" s="21" t="inlineStr">
        <is>
          <t>INV-10900</t>
        </is>
      </c>
      <c r="B229" s="22" t="n">
        <v>45732</v>
      </c>
      <c r="C229" s="21" t="inlineStr">
        <is>
          <t>R01</t>
        </is>
      </c>
      <c r="D229" s="21" t="inlineStr">
        <is>
          <t>P100</t>
        </is>
      </c>
      <c r="E229" s="21" t="n">
        <v>7</v>
      </c>
      <c r="F229" s="23" t="n">
        <v>0.05</v>
      </c>
      <c r="G229" s="24">
        <f>TEXT(B229,"mmm")</f>
        <v/>
      </c>
      <c r="H229" s="24">
        <f>HLOOKUP(C229,Lookups!$H$4:$K$5,2,FALSE)</f>
        <v/>
      </c>
      <c r="I229" s="24">
        <f>VLOOKUP(D229,Lookups!$A$5:$E$10,2,FALSE)</f>
        <v/>
      </c>
      <c r="J229" s="24">
        <f>VLOOKUP(D229,Lookups!$A$5:$E$10,3,FALSE)</f>
        <v/>
      </c>
      <c r="K229" s="25">
        <f>VLOOKUP(D229,Lookups!$A$5:$E$10,4,FALSE)</f>
        <v/>
      </c>
      <c r="L229" s="25">
        <f>E229*K229*(1-F229)</f>
        <v/>
      </c>
      <c r="M229" s="25">
        <f>L229*VLOOKUP(D229,Lookups!$A$5:$E$10,5,FALSE)</f>
        <v/>
      </c>
    </row>
    <row r="230">
      <c r="A230" s="21" t="inlineStr">
        <is>
          <t>INV-11050</t>
        </is>
      </c>
      <c r="B230" s="22" t="n">
        <v>45732</v>
      </c>
      <c r="C230" s="21" t="inlineStr">
        <is>
          <t>R02</t>
        </is>
      </c>
      <c r="D230" s="21" t="inlineStr">
        <is>
          <t>P600</t>
        </is>
      </c>
      <c r="E230" s="21" t="n">
        <v>16</v>
      </c>
      <c r="F230" s="23" t="n">
        <v>0</v>
      </c>
      <c r="G230" s="24">
        <f>TEXT(B230,"mmm")</f>
        <v/>
      </c>
      <c r="H230" s="24">
        <f>HLOOKUP(C230,Lookups!$H$4:$K$5,2,FALSE)</f>
        <v/>
      </c>
      <c r="I230" s="24">
        <f>VLOOKUP(D230,Lookups!$A$5:$E$10,2,FALSE)</f>
        <v/>
      </c>
      <c r="J230" s="24">
        <f>VLOOKUP(D230,Lookups!$A$5:$E$10,3,FALSE)</f>
        <v/>
      </c>
      <c r="K230" s="25">
        <f>VLOOKUP(D230,Lookups!$A$5:$E$10,4,FALSE)</f>
        <v/>
      </c>
      <c r="L230" s="25">
        <f>E230*K230*(1-F230)</f>
        <v/>
      </c>
      <c r="M230" s="25">
        <f>L230*VLOOKUP(D230,Lookups!$A$5:$E$10,5,FALSE)</f>
        <v/>
      </c>
    </row>
    <row r="231">
      <c r="A231" s="21" t="inlineStr">
        <is>
          <t>INV-11197</t>
        </is>
      </c>
      <c r="B231" s="22" t="n">
        <v>45732</v>
      </c>
      <c r="C231" s="21" t="inlineStr">
        <is>
          <t>R01</t>
        </is>
      </c>
      <c r="D231" s="21" t="inlineStr">
        <is>
          <t>P600</t>
        </is>
      </c>
      <c r="E231" s="21" t="n">
        <v>25</v>
      </c>
      <c r="F231" s="23" t="n">
        <v>0.05</v>
      </c>
      <c r="G231" s="24">
        <f>TEXT(B231,"mmm")</f>
        <v/>
      </c>
      <c r="H231" s="24">
        <f>HLOOKUP(C231,Lookups!$H$4:$K$5,2,FALSE)</f>
        <v/>
      </c>
      <c r="I231" s="24">
        <f>VLOOKUP(D231,Lookups!$A$5:$E$10,2,FALSE)</f>
        <v/>
      </c>
      <c r="J231" s="24">
        <f>VLOOKUP(D231,Lookups!$A$5:$E$10,3,FALSE)</f>
        <v/>
      </c>
      <c r="K231" s="25">
        <f>VLOOKUP(D231,Lookups!$A$5:$E$10,4,FALSE)</f>
        <v/>
      </c>
      <c r="L231" s="25">
        <f>E231*K231*(1-F231)</f>
        <v/>
      </c>
      <c r="M231" s="25">
        <f>L231*VLOOKUP(D231,Lookups!$A$5:$E$10,5,FALSE)</f>
        <v/>
      </c>
    </row>
    <row r="232">
      <c r="A232" s="21" t="inlineStr">
        <is>
          <t>INV-10103</t>
        </is>
      </c>
      <c r="B232" s="22" t="n">
        <v>45733</v>
      </c>
      <c r="C232" s="21" t="inlineStr">
        <is>
          <t>R01</t>
        </is>
      </c>
      <c r="D232" s="21" t="inlineStr">
        <is>
          <t>P100</t>
        </is>
      </c>
      <c r="E232" s="21" t="n">
        <v>8</v>
      </c>
      <c r="F232" s="23" t="n">
        <v>0.1</v>
      </c>
      <c r="G232" s="24">
        <f>TEXT(B232,"mmm")</f>
        <v/>
      </c>
      <c r="H232" s="24">
        <f>HLOOKUP(C232,Lookups!$H$4:$K$5,2,FALSE)</f>
        <v/>
      </c>
      <c r="I232" s="24">
        <f>VLOOKUP(D232,Lookups!$A$5:$E$10,2,FALSE)</f>
        <v/>
      </c>
      <c r="J232" s="24">
        <f>VLOOKUP(D232,Lookups!$A$5:$E$10,3,FALSE)</f>
        <v/>
      </c>
      <c r="K232" s="25">
        <f>VLOOKUP(D232,Lookups!$A$5:$E$10,4,FALSE)</f>
        <v/>
      </c>
      <c r="L232" s="25">
        <f>E232*K232*(1-F232)</f>
        <v/>
      </c>
      <c r="M232" s="25">
        <f>L232*VLOOKUP(D232,Lookups!$A$5:$E$10,5,FALSE)</f>
        <v/>
      </c>
    </row>
    <row r="233">
      <c r="A233" s="21" t="inlineStr">
        <is>
          <t>INV-10106</t>
        </is>
      </c>
      <c r="B233" s="22" t="n">
        <v>45733</v>
      </c>
      <c r="C233" s="21" t="inlineStr">
        <is>
          <t>R01</t>
        </is>
      </c>
      <c r="D233" s="21" t="inlineStr">
        <is>
          <t>P600</t>
        </is>
      </c>
      <c r="E233" s="21" t="n">
        <v>25</v>
      </c>
      <c r="F233" s="23" t="n">
        <v>0</v>
      </c>
      <c r="G233" s="24">
        <f>TEXT(B233,"mmm")</f>
        <v/>
      </c>
      <c r="H233" s="24">
        <f>HLOOKUP(C233,Lookups!$H$4:$K$5,2,FALSE)</f>
        <v/>
      </c>
      <c r="I233" s="24">
        <f>VLOOKUP(D233,Lookups!$A$5:$E$10,2,FALSE)</f>
        <v/>
      </c>
      <c r="J233" s="24">
        <f>VLOOKUP(D233,Lookups!$A$5:$E$10,3,FALSE)</f>
        <v/>
      </c>
      <c r="K233" s="25">
        <f>VLOOKUP(D233,Lookups!$A$5:$E$10,4,FALSE)</f>
        <v/>
      </c>
      <c r="L233" s="25">
        <f>E233*K233*(1-F233)</f>
        <v/>
      </c>
      <c r="M233" s="25">
        <f>L233*VLOOKUP(D233,Lookups!$A$5:$E$10,5,FALSE)</f>
        <v/>
      </c>
    </row>
    <row r="234">
      <c r="A234" s="21" t="inlineStr">
        <is>
          <t>INV-10433</t>
        </is>
      </c>
      <c r="B234" s="22" t="n">
        <v>45733</v>
      </c>
      <c r="C234" s="21" t="inlineStr">
        <is>
          <t>R02</t>
        </is>
      </c>
      <c r="D234" s="21" t="inlineStr">
        <is>
          <t>P600</t>
        </is>
      </c>
      <c r="E234" s="21" t="n">
        <v>2</v>
      </c>
      <c r="F234" s="23" t="n">
        <v>0</v>
      </c>
      <c r="G234" s="24">
        <f>TEXT(B234,"mmm")</f>
        <v/>
      </c>
      <c r="H234" s="24">
        <f>HLOOKUP(C234,Lookups!$H$4:$K$5,2,FALSE)</f>
        <v/>
      </c>
      <c r="I234" s="24">
        <f>VLOOKUP(D234,Lookups!$A$5:$E$10,2,FALSE)</f>
        <v/>
      </c>
      <c r="J234" s="24">
        <f>VLOOKUP(D234,Lookups!$A$5:$E$10,3,FALSE)</f>
        <v/>
      </c>
      <c r="K234" s="25">
        <f>VLOOKUP(D234,Lookups!$A$5:$E$10,4,FALSE)</f>
        <v/>
      </c>
      <c r="L234" s="25">
        <f>E234*K234*(1-F234)</f>
        <v/>
      </c>
      <c r="M234" s="25">
        <f>L234*VLOOKUP(D234,Lookups!$A$5:$E$10,5,FALSE)</f>
        <v/>
      </c>
    </row>
    <row r="235">
      <c r="A235" s="21" t="inlineStr">
        <is>
          <t>INV-10851</t>
        </is>
      </c>
      <c r="B235" s="22" t="n">
        <v>45734</v>
      </c>
      <c r="C235" s="21" t="inlineStr">
        <is>
          <t>R01</t>
        </is>
      </c>
      <c r="D235" s="21" t="inlineStr">
        <is>
          <t>P100</t>
        </is>
      </c>
      <c r="E235" s="21" t="n">
        <v>24</v>
      </c>
      <c r="F235" s="23" t="n">
        <v>0</v>
      </c>
      <c r="G235" s="24">
        <f>TEXT(B235,"mmm")</f>
        <v/>
      </c>
      <c r="H235" s="24">
        <f>HLOOKUP(C235,Lookups!$H$4:$K$5,2,FALSE)</f>
        <v/>
      </c>
      <c r="I235" s="24">
        <f>VLOOKUP(D235,Lookups!$A$5:$E$10,2,FALSE)</f>
        <v/>
      </c>
      <c r="J235" s="24">
        <f>VLOOKUP(D235,Lookups!$A$5:$E$10,3,FALSE)</f>
        <v/>
      </c>
      <c r="K235" s="25">
        <f>VLOOKUP(D235,Lookups!$A$5:$E$10,4,FALSE)</f>
        <v/>
      </c>
      <c r="L235" s="25">
        <f>E235*K235*(1-F235)</f>
        <v/>
      </c>
      <c r="M235" s="25">
        <f>L235*VLOOKUP(D235,Lookups!$A$5:$E$10,5,FALSE)</f>
        <v/>
      </c>
    </row>
    <row r="236">
      <c r="A236" s="21" t="inlineStr">
        <is>
          <t>INV-10435</t>
        </is>
      </c>
      <c r="B236" s="22" t="n">
        <v>45735</v>
      </c>
      <c r="C236" s="21" t="inlineStr">
        <is>
          <t>R02</t>
        </is>
      </c>
      <c r="D236" s="21" t="inlineStr">
        <is>
          <t>P400</t>
        </is>
      </c>
      <c r="E236" s="21" t="n">
        <v>14</v>
      </c>
      <c r="F236" s="23" t="n">
        <v>0.1</v>
      </c>
      <c r="G236" s="24">
        <f>TEXT(B236,"mmm")</f>
        <v/>
      </c>
      <c r="H236" s="24">
        <f>HLOOKUP(C236,Lookups!$H$4:$K$5,2,FALSE)</f>
        <v/>
      </c>
      <c r="I236" s="24">
        <f>VLOOKUP(D236,Lookups!$A$5:$E$10,2,FALSE)</f>
        <v/>
      </c>
      <c r="J236" s="24">
        <f>VLOOKUP(D236,Lookups!$A$5:$E$10,3,FALSE)</f>
        <v/>
      </c>
      <c r="K236" s="25">
        <f>VLOOKUP(D236,Lookups!$A$5:$E$10,4,FALSE)</f>
        <v/>
      </c>
      <c r="L236" s="25">
        <f>E236*K236*(1-F236)</f>
        <v/>
      </c>
      <c r="M236" s="25">
        <f>L236*VLOOKUP(D236,Lookups!$A$5:$E$10,5,FALSE)</f>
        <v/>
      </c>
    </row>
    <row r="237">
      <c r="A237" s="21" t="inlineStr">
        <is>
          <t>INV-10765</t>
        </is>
      </c>
      <c r="B237" s="22" t="n">
        <v>45735</v>
      </c>
      <c r="C237" s="21" t="inlineStr">
        <is>
          <t>R01</t>
        </is>
      </c>
      <c r="D237" s="21" t="inlineStr">
        <is>
          <t>P600</t>
        </is>
      </c>
      <c r="E237" s="21" t="n">
        <v>3</v>
      </c>
      <c r="F237" s="23" t="n">
        <v>0.05</v>
      </c>
      <c r="G237" s="24">
        <f>TEXT(B237,"mmm")</f>
        <v/>
      </c>
      <c r="H237" s="24">
        <f>HLOOKUP(C237,Lookups!$H$4:$K$5,2,FALSE)</f>
        <v/>
      </c>
      <c r="I237" s="24">
        <f>VLOOKUP(D237,Lookups!$A$5:$E$10,2,FALSE)</f>
        <v/>
      </c>
      <c r="J237" s="24">
        <f>VLOOKUP(D237,Lookups!$A$5:$E$10,3,FALSE)</f>
        <v/>
      </c>
      <c r="K237" s="25">
        <f>VLOOKUP(D237,Lookups!$A$5:$E$10,4,FALSE)</f>
        <v/>
      </c>
      <c r="L237" s="25">
        <f>E237*K237*(1-F237)</f>
        <v/>
      </c>
      <c r="M237" s="25">
        <f>L237*VLOOKUP(D237,Lookups!$A$5:$E$10,5,FALSE)</f>
        <v/>
      </c>
    </row>
    <row r="238">
      <c r="A238" s="21" t="inlineStr">
        <is>
          <t>INV-11093</t>
        </is>
      </c>
      <c r="B238" s="22" t="n">
        <v>45735</v>
      </c>
      <c r="C238" s="21" t="inlineStr">
        <is>
          <t>R04</t>
        </is>
      </c>
      <c r="D238" s="21" t="inlineStr">
        <is>
          <t>P100</t>
        </is>
      </c>
      <c r="E238" s="21" t="n">
        <v>7</v>
      </c>
      <c r="F238" s="23" t="n">
        <v>0.05</v>
      </c>
      <c r="G238" s="24">
        <f>TEXT(B238,"mmm")</f>
        <v/>
      </c>
      <c r="H238" s="24">
        <f>HLOOKUP(C238,Lookups!$H$4:$K$5,2,FALSE)</f>
        <v/>
      </c>
      <c r="I238" s="24">
        <f>VLOOKUP(D238,Lookups!$A$5:$E$10,2,FALSE)</f>
        <v/>
      </c>
      <c r="J238" s="24">
        <f>VLOOKUP(D238,Lookups!$A$5:$E$10,3,FALSE)</f>
        <v/>
      </c>
      <c r="K238" s="25">
        <f>VLOOKUP(D238,Lookups!$A$5:$E$10,4,FALSE)</f>
        <v/>
      </c>
      <c r="L238" s="25">
        <f>E238*K238*(1-F238)</f>
        <v/>
      </c>
      <c r="M238" s="25">
        <f>L238*VLOOKUP(D238,Lookups!$A$5:$E$10,5,FALSE)</f>
        <v/>
      </c>
    </row>
    <row r="239">
      <c r="A239" s="21" t="inlineStr">
        <is>
          <t>INV-11199</t>
        </is>
      </c>
      <c r="B239" s="22" t="n">
        <v>45735</v>
      </c>
      <c r="C239" s="21" t="inlineStr">
        <is>
          <t>R01</t>
        </is>
      </c>
      <c r="D239" s="21" t="inlineStr">
        <is>
          <t>P200</t>
        </is>
      </c>
      <c r="E239" s="21" t="n">
        <v>5</v>
      </c>
      <c r="F239" s="23" t="n">
        <v>0</v>
      </c>
      <c r="G239" s="24">
        <f>TEXT(B239,"mmm")</f>
        <v/>
      </c>
      <c r="H239" s="24">
        <f>HLOOKUP(C239,Lookups!$H$4:$K$5,2,FALSE)</f>
        <v/>
      </c>
      <c r="I239" s="24">
        <f>VLOOKUP(D239,Lookups!$A$5:$E$10,2,FALSE)</f>
        <v/>
      </c>
      <c r="J239" s="24">
        <f>VLOOKUP(D239,Lookups!$A$5:$E$10,3,FALSE)</f>
        <v/>
      </c>
      <c r="K239" s="25">
        <f>VLOOKUP(D239,Lookups!$A$5:$E$10,4,FALSE)</f>
        <v/>
      </c>
      <c r="L239" s="25">
        <f>E239*K239*(1-F239)</f>
        <v/>
      </c>
      <c r="M239" s="25">
        <f>L239*VLOOKUP(D239,Lookups!$A$5:$E$10,5,FALSE)</f>
        <v/>
      </c>
    </row>
    <row r="240">
      <c r="A240" s="21" t="inlineStr">
        <is>
          <t>INV-10032</t>
        </is>
      </c>
      <c r="B240" s="22" t="n">
        <v>45736</v>
      </c>
      <c r="C240" s="21" t="inlineStr">
        <is>
          <t>R02</t>
        </is>
      </c>
      <c r="D240" s="21" t="inlineStr">
        <is>
          <t>P300</t>
        </is>
      </c>
      <c r="E240" s="21" t="n">
        <v>18</v>
      </c>
      <c r="F240" s="23" t="n">
        <v>0</v>
      </c>
      <c r="G240" s="24">
        <f>TEXT(B240,"mmm")</f>
        <v/>
      </c>
      <c r="H240" s="24">
        <f>HLOOKUP(C240,Lookups!$H$4:$K$5,2,FALSE)</f>
        <v/>
      </c>
      <c r="I240" s="24">
        <f>VLOOKUP(D240,Lookups!$A$5:$E$10,2,FALSE)</f>
        <v/>
      </c>
      <c r="J240" s="24">
        <f>VLOOKUP(D240,Lookups!$A$5:$E$10,3,FALSE)</f>
        <v/>
      </c>
      <c r="K240" s="25">
        <f>VLOOKUP(D240,Lookups!$A$5:$E$10,4,FALSE)</f>
        <v/>
      </c>
      <c r="L240" s="25">
        <f>E240*K240*(1-F240)</f>
        <v/>
      </c>
      <c r="M240" s="25">
        <f>L240*VLOOKUP(D240,Lookups!$A$5:$E$10,5,FALSE)</f>
        <v/>
      </c>
    </row>
    <row r="241">
      <c r="A241" s="21" t="inlineStr">
        <is>
          <t>INV-10550</t>
        </is>
      </c>
      <c r="B241" s="22" t="n">
        <v>45736</v>
      </c>
      <c r="C241" s="21" t="inlineStr">
        <is>
          <t>R02</t>
        </is>
      </c>
      <c r="D241" s="21" t="inlineStr">
        <is>
          <t>P400</t>
        </is>
      </c>
      <c r="E241" s="21" t="n">
        <v>24</v>
      </c>
      <c r="F241" s="23" t="n">
        <v>0.1</v>
      </c>
      <c r="G241" s="24">
        <f>TEXT(B241,"mmm")</f>
        <v/>
      </c>
      <c r="H241" s="24">
        <f>HLOOKUP(C241,Lookups!$H$4:$K$5,2,FALSE)</f>
        <v/>
      </c>
      <c r="I241" s="24">
        <f>VLOOKUP(D241,Lookups!$A$5:$E$10,2,FALSE)</f>
        <v/>
      </c>
      <c r="J241" s="24">
        <f>VLOOKUP(D241,Lookups!$A$5:$E$10,3,FALSE)</f>
        <v/>
      </c>
      <c r="K241" s="25">
        <f>VLOOKUP(D241,Lookups!$A$5:$E$10,4,FALSE)</f>
        <v/>
      </c>
      <c r="L241" s="25">
        <f>E241*K241*(1-F241)</f>
        <v/>
      </c>
      <c r="M241" s="25">
        <f>L241*VLOOKUP(D241,Lookups!$A$5:$E$10,5,FALSE)</f>
        <v/>
      </c>
    </row>
    <row r="242">
      <c r="A242" s="21" t="inlineStr">
        <is>
          <t>INV-10663</t>
        </is>
      </c>
      <c r="B242" s="22" t="n">
        <v>45737</v>
      </c>
      <c r="C242" s="21" t="inlineStr">
        <is>
          <t>R03</t>
        </is>
      </c>
      <c r="D242" s="21" t="inlineStr">
        <is>
          <t>P500</t>
        </is>
      </c>
      <c r="E242" s="21" t="n">
        <v>13</v>
      </c>
      <c r="F242" s="23" t="n">
        <v>0</v>
      </c>
      <c r="G242" s="24">
        <f>TEXT(B242,"mmm")</f>
        <v/>
      </c>
      <c r="H242" s="24">
        <f>HLOOKUP(C242,Lookups!$H$4:$K$5,2,FALSE)</f>
        <v/>
      </c>
      <c r="I242" s="24">
        <f>VLOOKUP(D242,Lookups!$A$5:$E$10,2,FALSE)</f>
        <v/>
      </c>
      <c r="J242" s="24">
        <f>VLOOKUP(D242,Lookups!$A$5:$E$10,3,FALSE)</f>
        <v/>
      </c>
      <c r="K242" s="25">
        <f>VLOOKUP(D242,Lookups!$A$5:$E$10,4,FALSE)</f>
        <v/>
      </c>
      <c r="L242" s="25">
        <f>E242*K242*(1-F242)</f>
        <v/>
      </c>
      <c r="M242" s="25">
        <f>L242*VLOOKUP(D242,Lookups!$A$5:$E$10,5,FALSE)</f>
        <v/>
      </c>
    </row>
    <row r="243">
      <c r="A243" s="21" t="inlineStr">
        <is>
          <t>INV-11000</t>
        </is>
      </c>
      <c r="B243" s="22" t="n">
        <v>45737</v>
      </c>
      <c r="C243" s="21" t="inlineStr">
        <is>
          <t>R03</t>
        </is>
      </c>
      <c r="D243" s="21" t="inlineStr">
        <is>
          <t>P400</t>
        </is>
      </c>
      <c r="E243" s="21" t="n">
        <v>9</v>
      </c>
      <c r="F243" s="23" t="n">
        <v>0.1</v>
      </c>
      <c r="G243" s="24">
        <f>TEXT(B243,"mmm")</f>
        <v/>
      </c>
      <c r="H243" s="24">
        <f>HLOOKUP(C243,Lookups!$H$4:$K$5,2,FALSE)</f>
        <v/>
      </c>
      <c r="I243" s="24">
        <f>VLOOKUP(D243,Lookups!$A$5:$E$10,2,FALSE)</f>
        <v/>
      </c>
      <c r="J243" s="24">
        <f>VLOOKUP(D243,Lookups!$A$5:$E$10,3,FALSE)</f>
        <v/>
      </c>
      <c r="K243" s="25">
        <f>VLOOKUP(D243,Lookups!$A$5:$E$10,4,FALSE)</f>
        <v/>
      </c>
      <c r="L243" s="25">
        <f>E243*K243*(1-F243)</f>
        <v/>
      </c>
      <c r="M243" s="25">
        <f>L243*VLOOKUP(D243,Lookups!$A$5:$E$10,5,FALSE)</f>
        <v/>
      </c>
    </row>
    <row r="244">
      <c r="A244" s="21" t="inlineStr">
        <is>
          <t>INV-11034</t>
        </is>
      </c>
      <c r="B244" s="22" t="n">
        <v>45737</v>
      </c>
      <c r="C244" s="21" t="inlineStr">
        <is>
          <t>R01</t>
        </is>
      </c>
      <c r="D244" s="21" t="inlineStr">
        <is>
          <t>P100</t>
        </is>
      </c>
      <c r="E244" s="21" t="n">
        <v>3</v>
      </c>
      <c r="F244" s="23" t="n">
        <v>0.1</v>
      </c>
      <c r="G244" s="24">
        <f>TEXT(B244,"mmm")</f>
        <v/>
      </c>
      <c r="H244" s="24">
        <f>HLOOKUP(C244,Lookups!$H$4:$K$5,2,FALSE)</f>
        <v/>
      </c>
      <c r="I244" s="24">
        <f>VLOOKUP(D244,Lookups!$A$5:$E$10,2,FALSE)</f>
        <v/>
      </c>
      <c r="J244" s="24">
        <f>VLOOKUP(D244,Lookups!$A$5:$E$10,3,FALSE)</f>
        <v/>
      </c>
      <c r="K244" s="25">
        <f>VLOOKUP(D244,Lookups!$A$5:$E$10,4,FALSE)</f>
        <v/>
      </c>
      <c r="L244" s="25">
        <f>E244*K244*(1-F244)</f>
        <v/>
      </c>
      <c r="M244" s="25">
        <f>L244*VLOOKUP(D244,Lookups!$A$5:$E$10,5,FALSE)</f>
        <v/>
      </c>
    </row>
    <row r="245">
      <c r="A245" s="21" t="inlineStr">
        <is>
          <t>INV-11170</t>
        </is>
      </c>
      <c r="B245" s="22" t="n">
        <v>45737</v>
      </c>
      <c r="C245" s="21" t="inlineStr">
        <is>
          <t>R01</t>
        </is>
      </c>
      <c r="D245" s="21" t="inlineStr">
        <is>
          <t>P600</t>
        </is>
      </c>
      <c r="E245" s="21" t="n">
        <v>4</v>
      </c>
      <c r="F245" s="23" t="n">
        <v>0</v>
      </c>
      <c r="G245" s="24">
        <f>TEXT(B245,"mmm")</f>
        <v/>
      </c>
      <c r="H245" s="24">
        <f>HLOOKUP(C245,Lookups!$H$4:$K$5,2,FALSE)</f>
        <v/>
      </c>
      <c r="I245" s="24">
        <f>VLOOKUP(D245,Lookups!$A$5:$E$10,2,FALSE)</f>
        <v/>
      </c>
      <c r="J245" s="24">
        <f>VLOOKUP(D245,Lookups!$A$5:$E$10,3,FALSE)</f>
        <v/>
      </c>
      <c r="K245" s="25">
        <f>VLOOKUP(D245,Lookups!$A$5:$E$10,4,FALSE)</f>
        <v/>
      </c>
      <c r="L245" s="25">
        <f>E245*K245*(1-F245)</f>
        <v/>
      </c>
      <c r="M245" s="25">
        <f>L245*VLOOKUP(D245,Lookups!$A$5:$E$10,5,FALSE)</f>
        <v/>
      </c>
    </row>
    <row r="246">
      <c r="A246" s="21" t="inlineStr">
        <is>
          <t>INV-10170</t>
        </is>
      </c>
      <c r="B246" s="22" t="n">
        <v>45738</v>
      </c>
      <c r="C246" s="21" t="inlineStr">
        <is>
          <t>R02</t>
        </is>
      </c>
      <c r="D246" s="21" t="inlineStr">
        <is>
          <t>P200</t>
        </is>
      </c>
      <c r="E246" s="21" t="n">
        <v>18</v>
      </c>
      <c r="F246" s="23" t="n">
        <v>0</v>
      </c>
      <c r="G246" s="24">
        <f>TEXT(B246,"mmm")</f>
        <v/>
      </c>
      <c r="H246" s="24">
        <f>HLOOKUP(C246,Lookups!$H$4:$K$5,2,FALSE)</f>
        <v/>
      </c>
      <c r="I246" s="24">
        <f>VLOOKUP(D246,Lookups!$A$5:$E$10,2,FALSE)</f>
        <v/>
      </c>
      <c r="J246" s="24">
        <f>VLOOKUP(D246,Lookups!$A$5:$E$10,3,FALSE)</f>
        <v/>
      </c>
      <c r="K246" s="25">
        <f>VLOOKUP(D246,Lookups!$A$5:$E$10,4,FALSE)</f>
        <v/>
      </c>
      <c r="L246" s="25">
        <f>E246*K246*(1-F246)</f>
        <v/>
      </c>
      <c r="M246" s="25">
        <f>L246*VLOOKUP(D246,Lookups!$A$5:$E$10,5,FALSE)</f>
        <v/>
      </c>
    </row>
    <row r="247">
      <c r="A247" s="21" t="inlineStr">
        <is>
          <t>INV-10171</t>
        </is>
      </c>
      <c r="B247" s="22" t="n">
        <v>45738</v>
      </c>
      <c r="C247" s="21" t="inlineStr">
        <is>
          <t>R04</t>
        </is>
      </c>
      <c r="D247" s="21" t="inlineStr">
        <is>
          <t>P100</t>
        </is>
      </c>
      <c r="E247" s="21" t="n">
        <v>15</v>
      </c>
      <c r="F247" s="23" t="n">
        <v>0.1</v>
      </c>
      <c r="G247" s="24">
        <f>TEXT(B247,"mmm")</f>
        <v/>
      </c>
      <c r="H247" s="24">
        <f>HLOOKUP(C247,Lookups!$H$4:$K$5,2,FALSE)</f>
        <v/>
      </c>
      <c r="I247" s="24">
        <f>VLOOKUP(D247,Lookups!$A$5:$E$10,2,FALSE)</f>
        <v/>
      </c>
      <c r="J247" s="24">
        <f>VLOOKUP(D247,Lookups!$A$5:$E$10,3,FALSE)</f>
        <v/>
      </c>
      <c r="K247" s="25">
        <f>VLOOKUP(D247,Lookups!$A$5:$E$10,4,FALSE)</f>
        <v/>
      </c>
      <c r="L247" s="25">
        <f>E247*K247*(1-F247)</f>
        <v/>
      </c>
      <c r="M247" s="25">
        <f>L247*VLOOKUP(D247,Lookups!$A$5:$E$10,5,FALSE)</f>
        <v/>
      </c>
    </row>
    <row r="248">
      <c r="A248" s="21" t="inlineStr">
        <is>
          <t>INV-10405</t>
        </is>
      </c>
      <c r="B248" s="22" t="n">
        <v>45738</v>
      </c>
      <c r="C248" s="21" t="inlineStr">
        <is>
          <t>R04</t>
        </is>
      </c>
      <c r="D248" s="21" t="inlineStr">
        <is>
          <t>P400</t>
        </is>
      </c>
      <c r="E248" s="21" t="n">
        <v>16</v>
      </c>
      <c r="F248" s="23" t="n">
        <v>0.1</v>
      </c>
      <c r="G248" s="24">
        <f>TEXT(B248,"mmm")</f>
        <v/>
      </c>
      <c r="H248" s="24">
        <f>HLOOKUP(C248,Lookups!$H$4:$K$5,2,FALSE)</f>
        <v/>
      </c>
      <c r="I248" s="24">
        <f>VLOOKUP(D248,Lookups!$A$5:$E$10,2,FALSE)</f>
        <v/>
      </c>
      <c r="J248" s="24">
        <f>VLOOKUP(D248,Lookups!$A$5:$E$10,3,FALSE)</f>
        <v/>
      </c>
      <c r="K248" s="25">
        <f>VLOOKUP(D248,Lookups!$A$5:$E$10,4,FALSE)</f>
        <v/>
      </c>
      <c r="L248" s="25">
        <f>E248*K248*(1-F248)</f>
        <v/>
      </c>
      <c r="M248" s="25">
        <f>L248*VLOOKUP(D248,Lookups!$A$5:$E$10,5,FALSE)</f>
        <v/>
      </c>
    </row>
    <row r="249">
      <c r="A249" s="21" t="inlineStr">
        <is>
          <t>INV-11015</t>
        </is>
      </c>
      <c r="B249" s="22" t="n">
        <v>45738</v>
      </c>
      <c r="C249" s="21" t="inlineStr">
        <is>
          <t>R03</t>
        </is>
      </c>
      <c r="D249" s="21" t="inlineStr">
        <is>
          <t>P100</t>
        </is>
      </c>
      <c r="E249" s="21" t="n">
        <v>25</v>
      </c>
      <c r="F249" s="23" t="n">
        <v>0.1</v>
      </c>
      <c r="G249" s="24">
        <f>TEXT(B249,"mmm")</f>
        <v/>
      </c>
      <c r="H249" s="24">
        <f>HLOOKUP(C249,Lookups!$H$4:$K$5,2,FALSE)</f>
        <v/>
      </c>
      <c r="I249" s="24">
        <f>VLOOKUP(D249,Lookups!$A$5:$E$10,2,FALSE)</f>
        <v/>
      </c>
      <c r="J249" s="24">
        <f>VLOOKUP(D249,Lookups!$A$5:$E$10,3,FALSE)</f>
        <v/>
      </c>
      <c r="K249" s="25">
        <f>VLOOKUP(D249,Lookups!$A$5:$E$10,4,FALSE)</f>
        <v/>
      </c>
      <c r="L249" s="25">
        <f>E249*K249*(1-F249)</f>
        <v/>
      </c>
      <c r="M249" s="25">
        <f>L249*VLOOKUP(D249,Lookups!$A$5:$E$10,5,FALSE)</f>
        <v/>
      </c>
    </row>
    <row r="250">
      <c r="A250" s="21" t="inlineStr">
        <is>
          <t>INV-11185</t>
        </is>
      </c>
      <c r="B250" s="22" t="n">
        <v>45738</v>
      </c>
      <c r="C250" s="21" t="inlineStr">
        <is>
          <t>R03</t>
        </is>
      </c>
      <c r="D250" s="21" t="inlineStr">
        <is>
          <t>P100</t>
        </is>
      </c>
      <c r="E250" s="21" t="n">
        <v>22</v>
      </c>
      <c r="F250" s="23" t="n">
        <v>0.05</v>
      </c>
      <c r="G250" s="24">
        <f>TEXT(B250,"mmm")</f>
        <v/>
      </c>
      <c r="H250" s="24">
        <f>HLOOKUP(C250,Lookups!$H$4:$K$5,2,FALSE)</f>
        <v/>
      </c>
      <c r="I250" s="24">
        <f>VLOOKUP(D250,Lookups!$A$5:$E$10,2,FALSE)</f>
        <v/>
      </c>
      <c r="J250" s="24">
        <f>VLOOKUP(D250,Lookups!$A$5:$E$10,3,FALSE)</f>
        <v/>
      </c>
      <c r="K250" s="25">
        <f>VLOOKUP(D250,Lookups!$A$5:$E$10,4,FALSE)</f>
        <v/>
      </c>
      <c r="L250" s="25">
        <f>E250*K250*(1-F250)</f>
        <v/>
      </c>
      <c r="M250" s="25">
        <f>L250*VLOOKUP(D250,Lookups!$A$5:$E$10,5,FALSE)</f>
        <v/>
      </c>
    </row>
    <row r="251">
      <c r="A251" s="21" t="inlineStr">
        <is>
          <t>INV-10111</t>
        </is>
      </c>
      <c r="B251" s="22" t="n">
        <v>45739</v>
      </c>
      <c r="C251" s="21" t="inlineStr">
        <is>
          <t>R04</t>
        </is>
      </c>
      <c r="D251" s="21" t="inlineStr">
        <is>
          <t>P600</t>
        </is>
      </c>
      <c r="E251" s="21" t="n">
        <v>15</v>
      </c>
      <c r="F251" s="23" t="n">
        <v>0.05</v>
      </c>
      <c r="G251" s="24">
        <f>TEXT(B251,"mmm")</f>
        <v/>
      </c>
      <c r="H251" s="24">
        <f>HLOOKUP(C251,Lookups!$H$4:$K$5,2,FALSE)</f>
        <v/>
      </c>
      <c r="I251" s="24">
        <f>VLOOKUP(D251,Lookups!$A$5:$E$10,2,FALSE)</f>
        <v/>
      </c>
      <c r="J251" s="24">
        <f>VLOOKUP(D251,Lookups!$A$5:$E$10,3,FALSE)</f>
        <v/>
      </c>
      <c r="K251" s="25">
        <f>VLOOKUP(D251,Lookups!$A$5:$E$10,4,FALSE)</f>
        <v/>
      </c>
      <c r="L251" s="25">
        <f>E251*K251*(1-F251)</f>
        <v/>
      </c>
      <c r="M251" s="25">
        <f>L251*VLOOKUP(D251,Lookups!$A$5:$E$10,5,FALSE)</f>
        <v/>
      </c>
    </row>
    <row r="252">
      <c r="A252" s="21" t="inlineStr">
        <is>
          <t>INV-10901</t>
        </is>
      </c>
      <c r="B252" s="22" t="n">
        <v>45740</v>
      </c>
      <c r="C252" s="21" t="inlineStr">
        <is>
          <t>R03</t>
        </is>
      </c>
      <c r="D252" s="21" t="inlineStr">
        <is>
          <t>P300</t>
        </is>
      </c>
      <c r="E252" s="21" t="n">
        <v>5</v>
      </c>
      <c r="F252" s="23" t="n">
        <v>0</v>
      </c>
      <c r="G252" s="24">
        <f>TEXT(B252,"mmm")</f>
        <v/>
      </c>
      <c r="H252" s="24">
        <f>HLOOKUP(C252,Lookups!$H$4:$K$5,2,FALSE)</f>
        <v/>
      </c>
      <c r="I252" s="24">
        <f>VLOOKUP(D252,Lookups!$A$5:$E$10,2,FALSE)</f>
        <v/>
      </c>
      <c r="J252" s="24">
        <f>VLOOKUP(D252,Lookups!$A$5:$E$10,3,FALSE)</f>
        <v/>
      </c>
      <c r="K252" s="25">
        <f>VLOOKUP(D252,Lookups!$A$5:$E$10,4,FALSE)</f>
        <v/>
      </c>
      <c r="L252" s="25">
        <f>E252*K252*(1-F252)</f>
        <v/>
      </c>
      <c r="M252" s="25">
        <f>L252*VLOOKUP(D252,Lookups!$A$5:$E$10,5,FALSE)</f>
        <v/>
      </c>
    </row>
    <row r="253">
      <c r="A253" s="21" t="inlineStr">
        <is>
          <t>INV-11007</t>
        </is>
      </c>
      <c r="B253" s="22" t="n">
        <v>45740</v>
      </c>
      <c r="C253" s="21" t="inlineStr">
        <is>
          <t>R01</t>
        </is>
      </c>
      <c r="D253" s="21" t="inlineStr">
        <is>
          <t>P400</t>
        </is>
      </c>
      <c r="E253" s="21" t="n">
        <v>3</v>
      </c>
      <c r="F253" s="23" t="n">
        <v>0</v>
      </c>
      <c r="G253" s="24">
        <f>TEXT(B253,"mmm")</f>
        <v/>
      </c>
      <c r="H253" s="24">
        <f>HLOOKUP(C253,Lookups!$H$4:$K$5,2,FALSE)</f>
        <v/>
      </c>
      <c r="I253" s="24">
        <f>VLOOKUP(D253,Lookups!$A$5:$E$10,2,FALSE)</f>
        <v/>
      </c>
      <c r="J253" s="24">
        <f>VLOOKUP(D253,Lookups!$A$5:$E$10,3,FALSE)</f>
        <v/>
      </c>
      <c r="K253" s="25">
        <f>VLOOKUP(D253,Lookups!$A$5:$E$10,4,FALSE)</f>
        <v/>
      </c>
      <c r="L253" s="25">
        <f>E253*K253*(1-F253)</f>
        <v/>
      </c>
      <c r="M253" s="25">
        <f>L253*VLOOKUP(D253,Lookups!$A$5:$E$10,5,FALSE)</f>
        <v/>
      </c>
    </row>
    <row r="254">
      <c r="A254" s="21" t="inlineStr">
        <is>
          <t>INV-11062</t>
        </is>
      </c>
      <c r="B254" s="22" t="n">
        <v>45740</v>
      </c>
      <c r="C254" s="21" t="inlineStr">
        <is>
          <t>R02</t>
        </is>
      </c>
      <c r="D254" s="21" t="inlineStr">
        <is>
          <t>P300</t>
        </is>
      </c>
      <c r="E254" s="21" t="n">
        <v>11</v>
      </c>
      <c r="F254" s="23" t="n">
        <v>0.05</v>
      </c>
      <c r="G254" s="24">
        <f>TEXT(B254,"mmm")</f>
        <v/>
      </c>
      <c r="H254" s="24">
        <f>HLOOKUP(C254,Lookups!$H$4:$K$5,2,FALSE)</f>
        <v/>
      </c>
      <c r="I254" s="24">
        <f>VLOOKUP(D254,Lookups!$A$5:$E$10,2,FALSE)</f>
        <v/>
      </c>
      <c r="J254" s="24">
        <f>VLOOKUP(D254,Lookups!$A$5:$E$10,3,FALSE)</f>
        <v/>
      </c>
      <c r="K254" s="25">
        <f>VLOOKUP(D254,Lookups!$A$5:$E$10,4,FALSE)</f>
        <v/>
      </c>
      <c r="L254" s="25">
        <f>E254*K254*(1-F254)</f>
        <v/>
      </c>
      <c r="M254" s="25">
        <f>L254*VLOOKUP(D254,Lookups!$A$5:$E$10,5,FALSE)</f>
        <v/>
      </c>
    </row>
    <row r="255">
      <c r="A255" s="21" t="inlineStr">
        <is>
          <t>INV-10017</t>
        </is>
      </c>
      <c r="B255" s="22" t="n">
        <v>45741</v>
      </c>
      <c r="C255" s="21" t="inlineStr">
        <is>
          <t>R04</t>
        </is>
      </c>
      <c r="D255" s="21" t="inlineStr">
        <is>
          <t>P400</t>
        </is>
      </c>
      <c r="E255" s="21" t="n">
        <v>9</v>
      </c>
      <c r="F255" s="23" t="n">
        <v>0</v>
      </c>
      <c r="G255" s="24">
        <f>TEXT(B255,"mmm")</f>
        <v/>
      </c>
      <c r="H255" s="24">
        <f>HLOOKUP(C255,Lookups!$H$4:$K$5,2,FALSE)</f>
        <v/>
      </c>
      <c r="I255" s="24">
        <f>VLOOKUP(D255,Lookups!$A$5:$E$10,2,FALSE)</f>
        <v/>
      </c>
      <c r="J255" s="24">
        <f>VLOOKUP(D255,Lookups!$A$5:$E$10,3,FALSE)</f>
        <v/>
      </c>
      <c r="K255" s="25">
        <f>VLOOKUP(D255,Lookups!$A$5:$E$10,4,FALSE)</f>
        <v/>
      </c>
      <c r="L255" s="25">
        <f>E255*K255*(1-F255)</f>
        <v/>
      </c>
      <c r="M255" s="25">
        <f>L255*VLOOKUP(D255,Lookups!$A$5:$E$10,5,FALSE)</f>
        <v/>
      </c>
    </row>
    <row r="256">
      <c r="A256" s="21" t="inlineStr">
        <is>
          <t>INV-10668</t>
        </is>
      </c>
      <c r="B256" s="22" t="n">
        <v>45741</v>
      </c>
      <c r="C256" s="21" t="inlineStr">
        <is>
          <t>R03</t>
        </is>
      </c>
      <c r="D256" s="21" t="inlineStr">
        <is>
          <t>P400</t>
        </is>
      </c>
      <c r="E256" s="21" t="n">
        <v>17</v>
      </c>
      <c r="F256" s="23" t="n">
        <v>0.05</v>
      </c>
      <c r="G256" s="24">
        <f>TEXT(B256,"mmm")</f>
        <v/>
      </c>
      <c r="H256" s="24">
        <f>HLOOKUP(C256,Lookups!$H$4:$K$5,2,FALSE)</f>
        <v/>
      </c>
      <c r="I256" s="24">
        <f>VLOOKUP(D256,Lookups!$A$5:$E$10,2,FALSE)</f>
        <v/>
      </c>
      <c r="J256" s="24">
        <f>VLOOKUP(D256,Lookups!$A$5:$E$10,3,FALSE)</f>
        <v/>
      </c>
      <c r="K256" s="25">
        <f>VLOOKUP(D256,Lookups!$A$5:$E$10,4,FALSE)</f>
        <v/>
      </c>
      <c r="L256" s="25">
        <f>E256*K256*(1-F256)</f>
        <v/>
      </c>
      <c r="M256" s="25">
        <f>L256*VLOOKUP(D256,Lookups!$A$5:$E$10,5,FALSE)</f>
        <v/>
      </c>
    </row>
    <row r="257">
      <c r="A257" s="21" t="inlineStr">
        <is>
          <t>INV-10748</t>
        </is>
      </c>
      <c r="B257" s="22" t="n">
        <v>45741</v>
      </c>
      <c r="C257" s="21" t="inlineStr">
        <is>
          <t>R01</t>
        </is>
      </c>
      <c r="D257" s="21" t="inlineStr">
        <is>
          <t>P400</t>
        </is>
      </c>
      <c r="E257" s="21" t="n">
        <v>2</v>
      </c>
      <c r="F257" s="23" t="n">
        <v>0.05</v>
      </c>
      <c r="G257" s="24">
        <f>TEXT(B257,"mmm")</f>
        <v/>
      </c>
      <c r="H257" s="24">
        <f>HLOOKUP(C257,Lookups!$H$4:$K$5,2,FALSE)</f>
        <v/>
      </c>
      <c r="I257" s="24">
        <f>VLOOKUP(D257,Lookups!$A$5:$E$10,2,FALSE)</f>
        <v/>
      </c>
      <c r="J257" s="24">
        <f>VLOOKUP(D257,Lookups!$A$5:$E$10,3,FALSE)</f>
        <v/>
      </c>
      <c r="K257" s="25">
        <f>VLOOKUP(D257,Lookups!$A$5:$E$10,4,FALSE)</f>
        <v/>
      </c>
      <c r="L257" s="25">
        <f>E257*K257*(1-F257)</f>
        <v/>
      </c>
      <c r="M257" s="25">
        <f>L257*VLOOKUP(D257,Lookups!$A$5:$E$10,5,FALSE)</f>
        <v/>
      </c>
    </row>
    <row r="258">
      <c r="A258" s="21" t="inlineStr">
        <is>
          <t>INV-11084</t>
        </is>
      </c>
      <c r="B258" s="22" t="n">
        <v>45741</v>
      </c>
      <c r="C258" s="21" t="inlineStr">
        <is>
          <t>R04</t>
        </is>
      </c>
      <c r="D258" s="21" t="inlineStr">
        <is>
          <t>P600</t>
        </is>
      </c>
      <c r="E258" s="21" t="n">
        <v>13</v>
      </c>
      <c r="F258" s="23" t="n">
        <v>0</v>
      </c>
      <c r="G258" s="24">
        <f>TEXT(B258,"mmm")</f>
        <v/>
      </c>
      <c r="H258" s="24">
        <f>HLOOKUP(C258,Lookups!$H$4:$K$5,2,FALSE)</f>
        <v/>
      </c>
      <c r="I258" s="24">
        <f>VLOOKUP(D258,Lookups!$A$5:$E$10,2,FALSE)</f>
        <v/>
      </c>
      <c r="J258" s="24">
        <f>VLOOKUP(D258,Lookups!$A$5:$E$10,3,FALSE)</f>
        <v/>
      </c>
      <c r="K258" s="25">
        <f>VLOOKUP(D258,Lookups!$A$5:$E$10,4,FALSE)</f>
        <v/>
      </c>
      <c r="L258" s="25">
        <f>E258*K258*(1-F258)</f>
        <v/>
      </c>
      <c r="M258" s="25">
        <f>L258*VLOOKUP(D258,Lookups!$A$5:$E$10,5,FALSE)</f>
        <v/>
      </c>
    </row>
    <row r="259">
      <c r="A259" s="21" t="inlineStr">
        <is>
          <t>INV-10476</t>
        </is>
      </c>
      <c r="B259" s="22" t="n">
        <v>45742</v>
      </c>
      <c r="C259" s="21" t="inlineStr">
        <is>
          <t>R04</t>
        </is>
      </c>
      <c r="D259" s="21" t="inlineStr">
        <is>
          <t>P300</t>
        </is>
      </c>
      <c r="E259" s="21" t="n">
        <v>4</v>
      </c>
      <c r="F259" s="23" t="n">
        <v>0</v>
      </c>
      <c r="G259" s="24">
        <f>TEXT(B259,"mmm")</f>
        <v/>
      </c>
      <c r="H259" s="24">
        <f>HLOOKUP(C259,Lookups!$H$4:$K$5,2,FALSE)</f>
        <v/>
      </c>
      <c r="I259" s="24">
        <f>VLOOKUP(D259,Lookups!$A$5:$E$10,2,FALSE)</f>
        <v/>
      </c>
      <c r="J259" s="24">
        <f>VLOOKUP(D259,Lookups!$A$5:$E$10,3,FALSE)</f>
        <v/>
      </c>
      <c r="K259" s="25">
        <f>VLOOKUP(D259,Lookups!$A$5:$E$10,4,FALSE)</f>
        <v/>
      </c>
      <c r="L259" s="25">
        <f>E259*K259*(1-F259)</f>
        <v/>
      </c>
      <c r="M259" s="25">
        <f>L259*VLOOKUP(D259,Lookups!$A$5:$E$10,5,FALSE)</f>
        <v/>
      </c>
    </row>
    <row r="260">
      <c r="A260" s="21" t="inlineStr">
        <is>
          <t>INV-10697</t>
        </is>
      </c>
      <c r="B260" s="22" t="n">
        <v>45742</v>
      </c>
      <c r="C260" s="21" t="inlineStr">
        <is>
          <t>R04</t>
        </is>
      </c>
      <c r="D260" s="21" t="inlineStr">
        <is>
          <t>P400</t>
        </is>
      </c>
      <c r="E260" s="21" t="n">
        <v>11</v>
      </c>
      <c r="F260" s="23" t="n">
        <v>0.1</v>
      </c>
      <c r="G260" s="24">
        <f>TEXT(B260,"mmm")</f>
        <v/>
      </c>
      <c r="H260" s="24">
        <f>HLOOKUP(C260,Lookups!$H$4:$K$5,2,FALSE)</f>
        <v/>
      </c>
      <c r="I260" s="24">
        <f>VLOOKUP(D260,Lookups!$A$5:$E$10,2,FALSE)</f>
        <v/>
      </c>
      <c r="J260" s="24">
        <f>VLOOKUP(D260,Lookups!$A$5:$E$10,3,FALSE)</f>
        <v/>
      </c>
      <c r="K260" s="25">
        <f>VLOOKUP(D260,Lookups!$A$5:$E$10,4,FALSE)</f>
        <v/>
      </c>
      <c r="L260" s="25">
        <f>E260*K260*(1-F260)</f>
        <v/>
      </c>
      <c r="M260" s="25">
        <f>L260*VLOOKUP(D260,Lookups!$A$5:$E$10,5,FALSE)</f>
        <v/>
      </c>
    </row>
    <row r="261">
      <c r="A261" s="21" t="inlineStr">
        <is>
          <t>INV-10836</t>
        </is>
      </c>
      <c r="B261" s="22" t="n">
        <v>45742</v>
      </c>
      <c r="C261" s="21" t="inlineStr">
        <is>
          <t>R01</t>
        </is>
      </c>
      <c r="D261" s="21" t="inlineStr">
        <is>
          <t>P400</t>
        </is>
      </c>
      <c r="E261" s="21" t="n">
        <v>8</v>
      </c>
      <c r="F261" s="23" t="n">
        <v>0</v>
      </c>
      <c r="G261" s="24">
        <f>TEXT(B261,"mmm")</f>
        <v/>
      </c>
      <c r="H261" s="24">
        <f>HLOOKUP(C261,Lookups!$H$4:$K$5,2,FALSE)</f>
        <v/>
      </c>
      <c r="I261" s="24">
        <f>VLOOKUP(D261,Lookups!$A$5:$E$10,2,FALSE)</f>
        <v/>
      </c>
      <c r="J261" s="24">
        <f>VLOOKUP(D261,Lookups!$A$5:$E$10,3,FALSE)</f>
        <v/>
      </c>
      <c r="K261" s="25">
        <f>VLOOKUP(D261,Lookups!$A$5:$E$10,4,FALSE)</f>
        <v/>
      </c>
      <c r="L261" s="25">
        <f>E261*K261*(1-F261)</f>
        <v/>
      </c>
      <c r="M261" s="25">
        <f>L261*VLOOKUP(D261,Lookups!$A$5:$E$10,5,FALSE)</f>
        <v/>
      </c>
    </row>
    <row r="262">
      <c r="A262" s="21" t="inlineStr">
        <is>
          <t>INV-10560</t>
        </is>
      </c>
      <c r="B262" s="22" t="n">
        <v>45743</v>
      </c>
      <c r="C262" s="21" t="inlineStr">
        <is>
          <t>R03</t>
        </is>
      </c>
      <c r="D262" s="21" t="inlineStr">
        <is>
          <t>P400</t>
        </is>
      </c>
      <c r="E262" s="21" t="n">
        <v>14</v>
      </c>
      <c r="F262" s="23" t="n">
        <v>0.05</v>
      </c>
      <c r="G262" s="24">
        <f>TEXT(B262,"mmm")</f>
        <v/>
      </c>
      <c r="H262" s="24">
        <f>HLOOKUP(C262,Lookups!$H$4:$K$5,2,FALSE)</f>
        <v/>
      </c>
      <c r="I262" s="24">
        <f>VLOOKUP(D262,Lookups!$A$5:$E$10,2,FALSE)</f>
        <v/>
      </c>
      <c r="J262" s="24">
        <f>VLOOKUP(D262,Lookups!$A$5:$E$10,3,FALSE)</f>
        <v/>
      </c>
      <c r="K262" s="25">
        <f>VLOOKUP(D262,Lookups!$A$5:$E$10,4,FALSE)</f>
        <v/>
      </c>
      <c r="L262" s="25">
        <f>E262*K262*(1-F262)</f>
        <v/>
      </c>
      <c r="M262" s="25">
        <f>L262*VLOOKUP(D262,Lookups!$A$5:$E$10,5,FALSE)</f>
        <v/>
      </c>
    </row>
    <row r="263">
      <c r="A263" s="21" t="inlineStr">
        <is>
          <t>INV-10669</t>
        </is>
      </c>
      <c r="B263" s="22" t="n">
        <v>45743</v>
      </c>
      <c r="C263" s="21" t="inlineStr">
        <is>
          <t>R02</t>
        </is>
      </c>
      <c r="D263" s="21" t="inlineStr">
        <is>
          <t>P300</t>
        </is>
      </c>
      <c r="E263" s="21" t="n">
        <v>24</v>
      </c>
      <c r="F263" s="23" t="n">
        <v>0.05</v>
      </c>
      <c r="G263" s="24">
        <f>TEXT(B263,"mmm")</f>
        <v/>
      </c>
      <c r="H263" s="24">
        <f>HLOOKUP(C263,Lookups!$H$4:$K$5,2,FALSE)</f>
        <v/>
      </c>
      <c r="I263" s="24">
        <f>VLOOKUP(D263,Lookups!$A$5:$E$10,2,FALSE)</f>
        <v/>
      </c>
      <c r="J263" s="24">
        <f>VLOOKUP(D263,Lookups!$A$5:$E$10,3,FALSE)</f>
        <v/>
      </c>
      <c r="K263" s="25">
        <f>VLOOKUP(D263,Lookups!$A$5:$E$10,4,FALSE)</f>
        <v/>
      </c>
      <c r="L263" s="25">
        <f>E263*K263*(1-F263)</f>
        <v/>
      </c>
      <c r="M263" s="25">
        <f>L263*VLOOKUP(D263,Lookups!$A$5:$E$10,5,FALSE)</f>
        <v/>
      </c>
    </row>
    <row r="264">
      <c r="A264" s="21" t="inlineStr">
        <is>
          <t>INV-10746</t>
        </is>
      </c>
      <c r="B264" s="22" t="n">
        <v>45743</v>
      </c>
      <c r="C264" s="21" t="inlineStr">
        <is>
          <t>R04</t>
        </is>
      </c>
      <c r="D264" s="21" t="inlineStr">
        <is>
          <t>P400</t>
        </is>
      </c>
      <c r="E264" s="21" t="n">
        <v>13</v>
      </c>
      <c r="F264" s="23" t="n">
        <v>0.05</v>
      </c>
      <c r="G264" s="24">
        <f>TEXT(B264,"mmm")</f>
        <v/>
      </c>
      <c r="H264" s="24">
        <f>HLOOKUP(C264,Lookups!$H$4:$K$5,2,FALSE)</f>
        <v/>
      </c>
      <c r="I264" s="24">
        <f>VLOOKUP(D264,Lookups!$A$5:$E$10,2,FALSE)</f>
        <v/>
      </c>
      <c r="J264" s="24">
        <f>VLOOKUP(D264,Lookups!$A$5:$E$10,3,FALSE)</f>
        <v/>
      </c>
      <c r="K264" s="25">
        <f>VLOOKUP(D264,Lookups!$A$5:$E$10,4,FALSE)</f>
        <v/>
      </c>
      <c r="L264" s="25">
        <f>E264*K264*(1-F264)</f>
        <v/>
      </c>
      <c r="M264" s="25">
        <f>L264*VLOOKUP(D264,Lookups!$A$5:$E$10,5,FALSE)</f>
        <v/>
      </c>
    </row>
    <row r="265">
      <c r="A265" s="21" t="inlineStr">
        <is>
          <t>INV-10833</t>
        </is>
      </c>
      <c r="B265" s="22" t="n">
        <v>45743</v>
      </c>
      <c r="C265" s="21" t="inlineStr">
        <is>
          <t>R01</t>
        </is>
      </c>
      <c r="D265" s="21" t="inlineStr">
        <is>
          <t>P100</t>
        </is>
      </c>
      <c r="E265" s="21" t="n">
        <v>10</v>
      </c>
      <c r="F265" s="23" t="n">
        <v>0.05</v>
      </c>
      <c r="G265" s="24">
        <f>TEXT(B265,"mmm")</f>
        <v/>
      </c>
      <c r="H265" s="24">
        <f>HLOOKUP(C265,Lookups!$H$4:$K$5,2,FALSE)</f>
        <v/>
      </c>
      <c r="I265" s="24">
        <f>VLOOKUP(D265,Lookups!$A$5:$E$10,2,FALSE)</f>
        <v/>
      </c>
      <c r="J265" s="24">
        <f>VLOOKUP(D265,Lookups!$A$5:$E$10,3,FALSE)</f>
        <v/>
      </c>
      <c r="K265" s="25">
        <f>VLOOKUP(D265,Lookups!$A$5:$E$10,4,FALSE)</f>
        <v/>
      </c>
      <c r="L265" s="25">
        <f>E265*K265*(1-F265)</f>
        <v/>
      </c>
      <c r="M265" s="25">
        <f>L265*VLOOKUP(D265,Lookups!$A$5:$E$10,5,FALSE)</f>
        <v/>
      </c>
    </row>
    <row r="266">
      <c r="A266" s="21" t="inlineStr">
        <is>
          <t>INV-10101</t>
        </is>
      </c>
      <c r="B266" s="22" t="n">
        <v>45744</v>
      </c>
      <c r="C266" s="21" t="inlineStr">
        <is>
          <t>R01</t>
        </is>
      </c>
      <c r="D266" s="21" t="inlineStr">
        <is>
          <t>P600</t>
        </is>
      </c>
      <c r="E266" s="21" t="n">
        <v>10</v>
      </c>
      <c r="F266" s="23" t="n">
        <v>0.05</v>
      </c>
      <c r="G266" s="24">
        <f>TEXT(B266,"mmm")</f>
        <v/>
      </c>
      <c r="H266" s="24">
        <f>HLOOKUP(C266,Lookups!$H$4:$K$5,2,FALSE)</f>
        <v/>
      </c>
      <c r="I266" s="24">
        <f>VLOOKUP(D266,Lookups!$A$5:$E$10,2,FALSE)</f>
        <v/>
      </c>
      <c r="J266" s="24">
        <f>VLOOKUP(D266,Lookups!$A$5:$E$10,3,FALSE)</f>
        <v/>
      </c>
      <c r="K266" s="25">
        <f>VLOOKUP(D266,Lookups!$A$5:$E$10,4,FALSE)</f>
        <v/>
      </c>
      <c r="L266" s="25">
        <f>E266*K266*(1-F266)</f>
        <v/>
      </c>
      <c r="M266" s="25">
        <f>L266*VLOOKUP(D266,Lookups!$A$5:$E$10,5,FALSE)</f>
        <v/>
      </c>
    </row>
    <row r="267">
      <c r="A267" s="21" t="inlineStr">
        <is>
          <t>INV-10303</t>
        </is>
      </c>
      <c r="B267" s="22" t="n">
        <v>45744</v>
      </c>
      <c r="C267" s="21" t="inlineStr">
        <is>
          <t>R01</t>
        </is>
      </c>
      <c r="D267" s="21" t="inlineStr">
        <is>
          <t>P100</t>
        </is>
      </c>
      <c r="E267" s="21" t="n">
        <v>17</v>
      </c>
      <c r="F267" s="23" t="n">
        <v>0</v>
      </c>
      <c r="G267" s="24">
        <f>TEXT(B267,"mmm")</f>
        <v/>
      </c>
      <c r="H267" s="24">
        <f>HLOOKUP(C267,Lookups!$H$4:$K$5,2,FALSE)</f>
        <v/>
      </c>
      <c r="I267" s="24">
        <f>VLOOKUP(D267,Lookups!$A$5:$E$10,2,FALSE)</f>
        <v/>
      </c>
      <c r="J267" s="24">
        <f>VLOOKUP(D267,Lookups!$A$5:$E$10,3,FALSE)</f>
        <v/>
      </c>
      <c r="K267" s="25">
        <f>VLOOKUP(D267,Lookups!$A$5:$E$10,4,FALSE)</f>
        <v/>
      </c>
      <c r="L267" s="25">
        <f>E267*K267*(1-F267)</f>
        <v/>
      </c>
      <c r="M267" s="25">
        <f>L267*VLOOKUP(D267,Lookups!$A$5:$E$10,5,FALSE)</f>
        <v/>
      </c>
    </row>
    <row r="268">
      <c r="A268" s="21" t="inlineStr">
        <is>
          <t>INV-11168</t>
        </is>
      </c>
      <c r="B268" s="22" t="n">
        <v>45744</v>
      </c>
      <c r="C268" s="21" t="inlineStr">
        <is>
          <t>R04</t>
        </is>
      </c>
      <c r="D268" s="21" t="inlineStr">
        <is>
          <t>P300</t>
        </is>
      </c>
      <c r="E268" s="21" t="n">
        <v>20</v>
      </c>
      <c r="F268" s="23" t="n">
        <v>0</v>
      </c>
      <c r="G268" s="24">
        <f>TEXT(B268,"mmm")</f>
        <v/>
      </c>
      <c r="H268" s="24">
        <f>HLOOKUP(C268,Lookups!$H$4:$K$5,2,FALSE)</f>
        <v/>
      </c>
      <c r="I268" s="24">
        <f>VLOOKUP(D268,Lookups!$A$5:$E$10,2,FALSE)</f>
        <v/>
      </c>
      <c r="J268" s="24">
        <f>VLOOKUP(D268,Lookups!$A$5:$E$10,3,FALSE)</f>
        <v/>
      </c>
      <c r="K268" s="25">
        <f>VLOOKUP(D268,Lookups!$A$5:$E$10,4,FALSE)</f>
        <v/>
      </c>
      <c r="L268" s="25">
        <f>E268*K268*(1-F268)</f>
        <v/>
      </c>
      <c r="M268" s="25">
        <f>L268*VLOOKUP(D268,Lookups!$A$5:$E$10,5,FALSE)</f>
        <v/>
      </c>
    </row>
    <row r="269">
      <c r="A269" s="21" t="inlineStr">
        <is>
          <t>INV-10218</t>
        </is>
      </c>
      <c r="B269" s="22" t="n">
        <v>45745</v>
      </c>
      <c r="C269" s="21" t="inlineStr">
        <is>
          <t>R01</t>
        </is>
      </c>
      <c r="D269" s="21" t="inlineStr">
        <is>
          <t>P200</t>
        </is>
      </c>
      <c r="E269" s="21" t="n">
        <v>20</v>
      </c>
      <c r="F269" s="23" t="n">
        <v>0.1</v>
      </c>
      <c r="G269" s="24">
        <f>TEXT(B269,"mmm")</f>
        <v/>
      </c>
      <c r="H269" s="24">
        <f>HLOOKUP(C269,Lookups!$H$4:$K$5,2,FALSE)</f>
        <v/>
      </c>
      <c r="I269" s="24">
        <f>VLOOKUP(D269,Lookups!$A$5:$E$10,2,FALSE)</f>
        <v/>
      </c>
      <c r="J269" s="24">
        <f>VLOOKUP(D269,Lookups!$A$5:$E$10,3,FALSE)</f>
        <v/>
      </c>
      <c r="K269" s="25">
        <f>VLOOKUP(D269,Lookups!$A$5:$E$10,4,FALSE)</f>
        <v/>
      </c>
      <c r="L269" s="25">
        <f>E269*K269*(1-F269)</f>
        <v/>
      </c>
      <c r="M269" s="25">
        <f>L269*VLOOKUP(D269,Lookups!$A$5:$E$10,5,FALSE)</f>
        <v/>
      </c>
    </row>
    <row r="270">
      <c r="A270" s="21" t="inlineStr">
        <is>
          <t>INV-10712</t>
        </is>
      </c>
      <c r="B270" s="22" t="n">
        <v>45746</v>
      </c>
      <c r="C270" s="21" t="inlineStr">
        <is>
          <t>R02</t>
        </is>
      </c>
      <c r="D270" s="21" t="inlineStr">
        <is>
          <t>P300</t>
        </is>
      </c>
      <c r="E270" s="21" t="n">
        <v>6</v>
      </c>
      <c r="F270" s="23" t="n">
        <v>0.05</v>
      </c>
      <c r="G270" s="24">
        <f>TEXT(B270,"mmm")</f>
        <v/>
      </c>
      <c r="H270" s="24">
        <f>HLOOKUP(C270,Lookups!$H$4:$K$5,2,FALSE)</f>
        <v/>
      </c>
      <c r="I270" s="24">
        <f>VLOOKUP(D270,Lookups!$A$5:$E$10,2,FALSE)</f>
        <v/>
      </c>
      <c r="J270" s="24">
        <f>VLOOKUP(D270,Lookups!$A$5:$E$10,3,FALSE)</f>
        <v/>
      </c>
      <c r="K270" s="25">
        <f>VLOOKUP(D270,Lookups!$A$5:$E$10,4,FALSE)</f>
        <v/>
      </c>
      <c r="L270" s="25">
        <f>E270*K270*(1-F270)</f>
        <v/>
      </c>
      <c r="M270" s="25">
        <f>L270*VLOOKUP(D270,Lookups!$A$5:$E$10,5,FALSE)</f>
        <v/>
      </c>
    </row>
    <row r="271">
      <c r="A271" s="21" t="inlineStr">
        <is>
          <t>INV-10790</t>
        </is>
      </c>
      <c r="B271" s="22" t="n">
        <v>45746</v>
      </c>
      <c r="C271" s="21" t="inlineStr">
        <is>
          <t>R02</t>
        </is>
      </c>
      <c r="D271" s="21" t="inlineStr">
        <is>
          <t>P200</t>
        </is>
      </c>
      <c r="E271" s="21" t="n">
        <v>2</v>
      </c>
      <c r="F271" s="23" t="n">
        <v>0</v>
      </c>
      <c r="G271" s="24">
        <f>TEXT(B271,"mmm")</f>
        <v/>
      </c>
      <c r="H271" s="24">
        <f>HLOOKUP(C271,Lookups!$H$4:$K$5,2,FALSE)</f>
        <v/>
      </c>
      <c r="I271" s="24">
        <f>VLOOKUP(D271,Lookups!$A$5:$E$10,2,FALSE)</f>
        <v/>
      </c>
      <c r="J271" s="24">
        <f>VLOOKUP(D271,Lookups!$A$5:$E$10,3,FALSE)</f>
        <v/>
      </c>
      <c r="K271" s="25">
        <f>VLOOKUP(D271,Lookups!$A$5:$E$10,4,FALSE)</f>
        <v/>
      </c>
      <c r="L271" s="25">
        <f>E271*K271*(1-F271)</f>
        <v/>
      </c>
      <c r="M271" s="25">
        <f>L271*VLOOKUP(D271,Lookups!$A$5:$E$10,5,FALSE)</f>
        <v/>
      </c>
    </row>
    <row r="272">
      <c r="A272" s="21" t="inlineStr">
        <is>
          <t>INV-10233</t>
        </is>
      </c>
      <c r="B272" s="22" t="n">
        <v>45747</v>
      </c>
      <c r="C272" s="21" t="inlineStr">
        <is>
          <t>R02</t>
        </is>
      </c>
      <c r="D272" s="21" t="inlineStr">
        <is>
          <t>P200</t>
        </is>
      </c>
      <c r="E272" s="21" t="n">
        <v>18</v>
      </c>
      <c r="F272" s="23" t="n">
        <v>0.05</v>
      </c>
      <c r="G272" s="24">
        <f>TEXT(B272,"mmm")</f>
        <v/>
      </c>
      <c r="H272" s="24">
        <f>HLOOKUP(C272,Lookups!$H$4:$K$5,2,FALSE)</f>
        <v/>
      </c>
      <c r="I272" s="24">
        <f>VLOOKUP(D272,Lookups!$A$5:$E$10,2,FALSE)</f>
        <v/>
      </c>
      <c r="J272" s="24">
        <f>VLOOKUP(D272,Lookups!$A$5:$E$10,3,FALSE)</f>
        <v/>
      </c>
      <c r="K272" s="25">
        <f>VLOOKUP(D272,Lookups!$A$5:$E$10,4,FALSE)</f>
        <v/>
      </c>
      <c r="L272" s="25">
        <f>E272*K272*(1-F272)</f>
        <v/>
      </c>
      <c r="M272" s="25">
        <f>L272*VLOOKUP(D272,Lookups!$A$5:$E$10,5,FALSE)</f>
        <v/>
      </c>
    </row>
    <row r="273">
      <c r="A273" s="21" t="inlineStr">
        <is>
          <t>INV-10455</t>
        </is>
      </c>
      <c r="B273" s="22" t="n">
        <v>45747</v>
      </c>
      <c r="C273" s="21" t="inlineStr">
        <is>
          <t>R02</t>
        </is>
      </c>
      <c r="D273" s="21" t="inlineStr">
        <is>
          <t>P400</t>
        </is>
      </c>
      <c r="E273" s="21" t="n">
        <v>2</v>
      </c>
      <c r="F273" s="23" t="n">
        <v>0.1</v>
      </c>
      <c r="G273" s="24">
        <f>TEXT(B273,"mmm")</f>
        <v/>
      </c>
      <c r="H273" s="24">
        <f>HLOOKUP(C273,Lookups!$H$4:$K$5,2,FALSE)</f>
        <v/>
      </c>
      <c r="I273" s="24">
        <f>VLOOKUP(D273,Lookups!$A$5:$E$10,2,FALSE)</f>
        <v/>
      </c>
      <c r="J273" s="24">
        <f>VLOOKUP(D273,Lookups!$A$5:$E$10,3,FALSE)</f>
        <v/>
      </c>
      <c r="K273" s="25">
        <f>VLOOKUP(D273,Lookups!$A$5:$E$10,4,FALSE)</f>
        <v/>
      </c>
      <c r="L273" s="25">
        <f>E273*K273*(1-F273)</f>
        <v/>
      </c>
      <c r="M273" s="25">
        <f>L273*VLOOKUP(D273,Lookups!$A$5:$E$10,5,FALSE)</f>
        <v/>
      </c>
    </row>
    <row r="274">
      <c r="A274" s="21" t="inlineStr">
        <is>
          <t>INV-10462</t>
        </is>
      </c>
      <c r="B274" s="22" t="n">
        <v>45747</v>
      </c>
      <c r="C274" s="21" t="inlineStr">
        <is>
          <t>R04</t>
        </is>
      </c>
      <c r="D274" s="21" t="inlineStr">
        <is>
          <t>P500</t>
        </is>
      </c>
      <c r="E274" s="21" t="n">
        <v>14</v>
      </c>
      <c r="F274" s="23" t="n">
        <v>0.05</v>
      </c>
      <c r="G274" s="24">
        <f>TEXT(B274,"mmm")</f>
        <v/>
      </c>
      <c r="H274" s="24">
        <f>HLOOKUP(C274,Lookups!$H$4:$K$5,2,FALSE)</f>
        <v/>
      </c>
      <c r="I274" s="24">
        <f>VLOOKUP(D274,Lookups!$A$5:$E$10,2,FALSE)</f>
        <v/>
      </c>
      <c r="J274" s="24">
        <f>VLOOKUP(D274,Lookups!$A$5:$E$10,3,FALSE)</f>
        <v/>
      </c>
      <c r="K274" s="25">
        <f>VLOOKUP(D274,Lookups!$A$5:$E$10,4,FALSE)</f>
        <v/>
      </c>
      <c r="L274" s="25">
        <f>E274*K274*(1-F274)</f>
        <v/>
      </c>
      <c r="M274" s="25">
        <f>L274*VLOOKUP(D274,Lookups!$A$5:$E$10,5,FALSE)</f>
        <v/>
      </c>
    </row>
    <row r="275">
      <c r="A275" s="21" t="inlineStr">
        <is>
          <t>INV-10727</t>
        </is>
      </c>
      <c r="B275" s="22" t="n">
        <v>45747</v>
      </c>
      <c r="C275" s="21" t="inlineStr">
        <is>
          <t>R01</t>
        </is>
      </c>
      <c r="D275" s="21" t="inlineStr">
        <is>
          <t>P400</t>
        </is>
      </c>
      <c r="E275" s="21" t="n">
        <v>3</v>
      </c>
      <c r="F275" s="23" t="n">
        <v>0</v>
      </c>
      <c r="G275" s="24">
        <f>TEXT(B275,"mmm")</f>
        <v/>
      </c>
      <c r="H275" s="24">
        <f>HLOOKUP(C275,Lookups!$H$4:$K$5,2,FALSE)</f>
        <v/>
      </c>
      <c r="I275" s="24">
        <f>VLOOKUP(D275,Lookups!$A$5:$E$10,2,FALSE)</f>
        <v/>
      </c>
      <c r="J275" s="24">
        <f>VLOOKUP(D275,Lookups!$A$5:$E$10,3,FALSE)</f>
        <v/>
      </c>
      <c r="K275" s="25">
        <f>VLOOKUP(D275,Lookups!$A$5:$E$10,4,FALSE)</f>
        <v/>
      </c>
      <c r="L275" s="25">
        <f>E275*K275*(1-F275)</f>
        <v/>
      </c>
      <c r="M275" s="25">
        <f>L275*VLOOKUP(D275,Lookups!$A$5:$E$10,5,FALSE)</f>
        <v/>
      </c>
    </row>
    <row r="276">
      <c r="A276" s="21" t="inlineStr">
        <is>
          <t>INV-10956</t>
        </is>
      </c>
      <c r="B276" s="22" t="n">
        <v>45747</v>
      </c>
      <c r="C276" s="21" t="inlineStr">
        <is>
          <t>R01</t>
        </is>
      </c>
      <c r="D276" s="21" t="inlineStr">
        <is>
          <t>P600</t>
        </is>
      </c>
      <c r="E276" s="21" t="n">
        <v>9</v>
      </c>
      <c r="F276" s="23" t="n">
        <v>0</v>
      </c>
      <c r="G276" s="24">
        <f>TEXT(B276,"mmm")</f>
        <v/>
      </c>
      <c r="H276" s="24">
        <f>HLOOKUP(C276,Lookups!$H$4:$K$5,2,FALSE)</f>
        <v/>
      </c>
      <c r="I276" s="24">
        <f>VLOOKUP(D276,Lookups!$A$5:$E$10,2,FALSE)</f>
        <v/>
      </c>
      <c r="J276" s="24">
        <f>VLOOKUP(D276,Lookups!$A$5:$E$10,3,FALSE)</f>
        <v/>
      </c>
      <c r="K276" s="25">
        <f>VLOOKUP(D276,Lookups!$A$5:$E$10,4,FALSE)</f>
        <v/>
      </c>
      <c r="L276" s="25">
        <f>E276*K276*(1-F276)</f>
        <v/>
      </c>
      <c r="M276" s="25">
        <f>L276*VLOOKUP(D276,Lookups!$A$5:$E$10,5,FALSE)</f>
        <v/>
      </c>
    </row>
    <row r="277">
      <c r="A277" s="21" t="inlineStr">
        <is>
          <t>INV-11011</t>
        </is>
      </c>
      <c r="B277" s="22" t="n">
        <v>45747</v>
      </c>
      <c r="C277" s="21" t="inlineStr">
        <is>
          <t>R04</t>
        </is>
      </c>
      <c r="D277" s="21" t="inlineStr">
        <is>
          <t>P600</t>
        </is>
      </c>
      <c r="E277" s="21" t="n">
        <v>15</v>
      </c>
      <c r="F277" s="23" t="n">
        <v>0</v>
      </c>
      <c r="G277" s="24">
        <f>TEXT(B277,"mmm")</f>
        <v/>
      </c>
      <c r="H277" s="24">
        <f>HLOOKUP(C277,Lookups!$H$4:$K$5,2,FALSE)</f>
        <v/>
      </c>
      <c r="I277" s="24">
        <f>VLOOKUP(D277,Lookups!$A$5:$E$10,2,FALSE)</f>
        <v/>
      </c>
      <c r="J277" s="24">
        <f>VLOOKUP(D277,Lookups!$A$5:$E$10,3,FALSE)</f>
        <v/>
      </c>
      <c r="K277" s="25">
        <f>VLOOKUP(D277,Lookups!$A$5:$E$10,4,FALSE)</f>
        <v/>
      </c>
      <c r="L277" s="25">
        <f>E277*K277*(1-F277)</f>
        <v/>
      </c>
      <c r="M277" s="25">
        <f>L277*VLOOKUP(D277,Lookups!$A$5:$E$10,5,FALSE)</f>
        <v/>
      </c>
    </row>
    <row r="278">
      <c r="A278" s="21" t="inlineStr">
        <is>
          <t>INV-10567</t>
        </is>
      </c>
      <c r="B278" s="22" t="n">
        <v>45748</v>
      </c>
      <c r="C278" s="21" t="inlineStr">
        <is>
          <t>R03</t>
        </is>
      </c>
      <c r="D278" s="21" t="inlineStr">
        <is>
          <t>P400</t>
        </is>
      </c>
      <c r="E278" s="21" t="n">
        <v>10</v>
      </c>
      <c r="F278" s="23" t="n">
        <v>0.1</v>
      </c>
      <c r="G278" s="24">
        <f>TEXT(B278,"mmm")</f>
        <v/>
      </c>
      <c r="H278" s="24">
        <f>HLOOKUP(C278,Lookups!$H$4:$K$5,2,FALSE)</f>
        <v/>
      </c>
      <c r="I278" s="24">
        <f>VLOOKUP(D278,Lookups!$A$5:$E$10,2,FALSE)</f>
        <v/>
      </c>
      <c r="J278" s="24">
        <f>VLOOKUP(D278,Lookups!$A$5:$E$10,3,FALSE)</f>
        <v/>
      </c>
      <c r="K278" s="25">
        <f>VLOOKUP(D278,Lookups!$A$5:$E$10,4,FALSE)</f>
        <v/>
      </c>
      <c r="L278" s="25">
        <f>E278*K278*(1-F278)</f>
        <v/>
      </c>
      <c r="M278" s="25">
        <f>L278*VLOOKUP(D278,Lookups!$A$5:$E$10,5,FALSE)</f>
        <v/>
      </c>
    </row>
    <row r="279">
      <c r="A279" s="21" t="inlineStr">
        <is>
          <t>INV-10724</t>
        </is>
      </c>
      <c r="B279" s="22" t="n">
        <v>45748</v>
      </c>
      <c r="C279" s="21" t="inlineStr">
        <is>
          <t>R03</t>
        </is>
      </c>
      <c r="D279" s="21" t="inlineStr">
        <is>
          <t>P200</t>
        </is>
      </c>
      <c r="E279" s="21" t="n">
        <v>24</v>
      </c>
      <c r="F279" s="23" t="n">
        <v>0.05</v>
      </c>
      <c r="G279" s="24">
        <f>TEXT(B279,"mmm")</f>
        <v/>
      </c>
      <c r="H279" s="24">
        <f>HLOOKUP(C279,Lookups!$H$4:$K$5,2,FALSE)</f>
        <v/>
      </c>
      <c r="I279" s="24">
        <f>VLOOKUP(D279,Lookups!$A$5:$E$10,2,FALSE)</f>
        <v/>
      </c>
      <c r="J279" s="24">
        <f>VLOOKUP(D279,Lookups!$A$5:$E$10,3,FALSE)</f>
        <v/>
      </c>
      <c r="K279" s="25">
        <f>VLOOKUP(D279,Lookups!$A$5:$E$10,4,FALSE)</f>
        <v/>
      </c>
      <c r="L279" s="25">
        <f>E279*K279*(1-F279)</f>
        <v/>
      </c>
      <c r="M279" s="25">
        <f>L279*VLOOKUP(D279,Lookups!$A$5:$E$10,5,FALSE)</f>
        <v/>
      </c>
    </row>
    <row r="280">
      <c r="A280" s="21" t="inlineStr">
        <is>
          <t>INV-10730</t>
        </is>
      </c>
      <c r="B280" s="22" t="n">
        <v>45748</v>
      </c>
      <c r="C280" s="21" t="inlineStr">
        <is>
          <t>R01</t>
        </is>
      </c>
      <c r="D280" s="21" t="inlineStr">
        <is>
          <t>P300</t>
        </is>
      </c>
      <c r="E280" s="21" t="n">
        <v>1</v>
      </c>
      <c r="F280" s="23" t="n">
        <v>0</v>
      </c>
      <c r="G280" s="24">
        <f>TEXT(B280,"mmm")</f>
        <v/>
      </c>
      <c r="H280" s="24">
        <f>HLOOKUP(C280,Lookups!$H$4:$K$5,2,FALSE)</f>
        <v/>
      </c>
      <c r="I280" s="24">
        <f>VLOOKUP(D280,Lookups!$A$5:$E$10,2,FALSE)</f>
        <v/>
      </c>
      <c r="J280" s="24">
        <f>VLOOKUP(D280,Lookups!$A$5:$E$10,3,FALSE)</f>
        <v/>
      </c>
      <c r="K280" s="25">
        <f>VLOOKUP(D280,Lookups!$A$5:$E$10,4,FALSE)</f>
        <v/>
      </c>
      <c r="L280" s="25">
        <f>E280*K280*(1-F280)</f>
        <v/>
      </c>
      <c r="M280" s="25">
        <f>L280*VLOOKUP(D280,Lookups!$A$5:$E$10,5,FALSE)</f>
        <v/>
      </c>
    </row>
    <row r="281">
      <c r="A281" s="21" t="inlineStr">
        <is>
          <t>INV-10990</t>
        </is>
      </c>
      <c r="B281" s="22" t="n">
        <v>45748</v>
      </c>
      <c r="C281" s="21" t="inlineStr">
        <is>
          <t>R01</t>
        </is>
      </c>
      <c r="D281" s="21" t="inlineStr">
        <is>
          <t>P400</t>
        </is>
      </c>
      <c r="E281" s="21" t="n">
        <v>18</v>
      </c>
      <c r="F281" s="23" t="n">
        <v>0</v>
      </c>
      <c r="G281" s="24">
        <f>TEXT(B281,"mmm")</f>
        <v/>
      </c>
      <c r="H281" s="24">
        <f>HLOOKUP(C281,Lookups!$H$4:$K$5,2,FALSE)</f>
        <v/>
      </c>
      <c r="I281" s="24">
        <f>VLOOKUP(D281,Lookups!$A$5:$E$10,2,FALSE)</f>
        <v/>
      </c>
      <c r="J281" s="24">
        <f>VLOOKUP(D281,Lookups!$A$5:$E$10,3,FALSE)</f>
        <v/>
      </c>
      <c r="K281" s="25">
        <f>VLOOKUP(D281,Lookups!$A$5:$E$10,4,FALSE)</f>
        <v/>
      </c>
      <c r="L281" s="25">
        <f>E281*K281*(1-F281)</f>
        <v/>
      </c>
      <c r="M281" s="25">
        <f>L281*VLOOKUP(D281,Lookups!$A$5:$E$10,5,FALSE)</f>
        <v/>
      </c>
    </row>
    <row r="282">
      <c r="A282" s="21" t="inlineStr">
        <is>
          <t>INV-11051</t>
        </is>
      </c>
      <c r="B282" s="22" t="n">
        <v>45748</v>
      </c>
      <c r="C282" s="21" t="inlineStr">
        <is>
          <t>R04</t>
        </is>
      </c>
      <c r="D282" s="21" t="inlineStr">
        <is>
          <t>P400</t>
        </is>
      </c>
      <c r="E282" s="21" t="n">
        <v>5</v>
      </c>
      <c r="F282" s="23" t="n">
        <v>0.05</v>
      </c>
      <c r="G282" s="24">
        <f>TEXT(B282,"mmm")</f>
        <v/>
      </c>
      <c r="H282" s="24">
        <f>HLOOKUP(C282,Lookups!$H$4:$K$5,2,FALSE)</f>
        <v/>
      </c>
      <c r="I282" s="24">
        <f>VLOOKUP(D282,Lookups!$A$5:$E$10,2,FALSE)</f>
        <v/>
      </c>
      <c r="J282" s="24">
        <f>VLOOKUP(D282,Lookups!$A$5:$E$10,3,FALSE)</f>
        <v/>
      </c>
      <c r="K282" s="25">
        <f>VLOOKUP(D282,Lookups!$A$5:$E$10,4,FALSE)</f>
        <v/>
      </c>
      <c r="L282" s="25">
        <f>E282*K282*(1-F282)</f>
        <v/>
      </c>
      <c r="M282" s="25">
        <f>L282*VLOOKUP(D282,Lookups!$A$5:$E$10,5,FALSE)</f>
        <v/>
      </c>
    </row>
    <row r="283">
      <c r="A283" s="21" t="inlineStr">
        <is>
          <t>INV-10083</t>
        </is>
      </c>
      <c r="B283" s="22" t="n">
        <v>45749</v>
      </c>
      <c r="C283" s="21" t="inlineStr">
        <is>
          <t>R03</t>
        </is>
      </c>
      <c r="D283" s="21" t="inlineStr">
        <is>
          <t>P600</t>
        </is>
      </c>
      <c r="E283" s="21" t="n">
        <v>14</v>
      </c>
      <c r="F283" s="23" t="n">
        <v>0</v>
      </c>
      <c r="G283" s="24">
        <f>TEXT(B283,"mmm")</f>
        <v/>
      </c>
      <c r="H283" s="24">
        <f>HLOOKUP(C283,Lookups!$H$4:$K$5,2,FALSE)</f>
        <v/>
      </c>
      <c r="I283" s="24">
        <f>VLOOKUP(D283,Lookups!$A$5:$E$10,2,FALSE)</f>
        <v/>
      </c>
      <c r="J283" s="24">
        <f>VLOOKUP(D283,Lookups!$A$5:$E$10,3,FALSE)</f>
        <v/>
      </c>
      <c r="K283" s="25">
        <f>VLOOKUP(D283,Lookups!$A$5:$E$10,4,FALSE)</f>
        <v/>
      </c>
      <c r="L283" s="25">
        <f>E283*K283*(1-F283)</f>
        <v/>
      </c>
      <c r="M283" s="25">
        <f>L283*VLOOKUP(D283,Lookups!$A$5:$E$10,5,FALSE)</f>
        <v/>
      </c>
    </row>
    <row r="284">
      <c r="A284" s="21" t="inlineStr">
        <is>
          <t>INV-10158</t>
        </is>
      </c>
      <c r="B284" s="22" t="n">
        <v>45749</v>
      </c>
      <c r="C284" s="21" t="inlineStr">
        <is>
          <t>R01</t>
        </is>
      </c>
      <c r="D284" s="21" t="inlineStr">
        <is>
          <t>P300</t>
        </is>
      </c>
      <c r="E284" s="21" t="n">
        <v>23</v>
      </c>
      <c r="F284" s="23" t="n">
        <v>0</v>
      </c>
      <c r="G284" s="24">
        <f>TEXT(B284,"mmm")</f>
        <v/>
      </c>
      <c r="H284" s="24">
        <f>HLOOKUP(C284,Lookups!$H$4:$K$5,2,FALSE)</f>
        <v/>
      </c>
      <c r="I284" s="24">
        <f>VLOOKUP(D284,Lookups!$A$5:$E$10,2,FALSE)</f>
        <v/>
      </c>
      <c r="J284" s="24">
        <f>VLOOKUP(D284,Lookups!$A$5:$E$10,3,FALSE)</f>
        <v/>
      </c>
      <c r="K284" s="25">
        <f>VLOOKUP(D284,Lookups!$A$5:$E$10,4,FALSE)</f>
        <v/>
      </c>
      <c r="L284" s="25">
        <f>E284*K284*(1-F284)</f>
        <v/>
      </c>
      <c r="M284" s="25">
        <f>L284*VLOOKUP(D284,Lookups!$A$5:$E$10,5,FALSE)</f>
        <v/>
      </c>
    </row>
    <row r="285">
      <c r="A285" s="21" t="inlineStr">
        <is>
          <t>INV-10540</t>
        </is>
      </c>
      <c r="B285" s="22" t="n">
        <v>45749</v>
      </c>
      <c r="C285" s="21" t="inlineStr">
        <is>
          <t>R01</t>
        </is>
      </c>
      <c r="D285" s="21" t="inlineStr">
        <is>
          <t>P300</t>
        </is>
      </c>
      <c r="E285" s="21" t="n">
        <v>7</v>
      </c>
      <c r="F285" s="23" t="n">
        <v>0</v>
      </c>
      <c r="G285" s="24">
        <f>TEXT(B285,"mmm")</f>
        <v/>
      </c>
      <c r="H285" s="24">
        <f>HLOOKUP(C285,Lookups!$H$4:$K$5,2,FALSE)</f>
        <v/>
      </c>
      <c r="I285" s="24">
        <f>VLOOKUP(D285,Lookups!$A$5:$E$10,2,FALSE)</f>
        <v/>
      </c>
      <c r="J285" s="24">
        <f>VLOOKUP(D285,Lookups!$A$5:$E$10,3,FALSE)</f>
        <v/>
      </c>
      <c r="K285" s="25">
        <f>VLOOKUP(D285,Lookups!$A$5:$E$10,4,FALSE)</f>
        <v/>
      </c>
      <c r="L285" s="25">
        <f>E285*K285*(1-F285)</f>
        <v/>
      </c>
      <c r="M285" s="25">
        <f>L285*VLOOKUP(D285,Lookups!$A$5:$E$10,5,FALSE)</f>
        <v/>
      </c>
    </row>
    <row r="286">
      <c r="A286" s="21" t="inlineStr">
        <is>
          <t>INV-10680</t>
        </is>
      </c>
      <c r="B286" s="22" t="n">
        <v>45749</v>
      </c>
      <c r="C286" s="21" t="inlineStr">
        <is>
          <t>R01</t>
        </is>
      </c>
      <c r="D286" s="21" t="inlineStr">
        <is>
          <t>P200</t>
        </is>
      </c>
      <c r="E286" s="21" t="n">
        <v>13</v>
      </c>
      <c r="F286" s="23" t="n">
        <v>0</v>
      </c>
      <c r="G286" s="24">
        <f>TEXT(B286,"mmm")</f>
        <v/>
      </c>
      <c r="H286" s="24">
        <f>HLOOKUP(C286,Lookups!$H$4:$K$5,2,FALSE)</f>
        <v/>
      </c>
      <c r="I286" s="24">
        <f>VLOOKUP(D286,Lookups!$A$5:$E$10,2,FALSE)</f>
        <v/>
      </c>
      <c r="J286" s="24">
        <f>VLOOKUP(D286,Lookups!$A$5:$E$10,3,FALSE)</f>
        <v/>
      </c>
      <c r="K286" s="25">
        <f>VLOOKUP(D286,Lookups!$A$5:$E$10,4,FALSE)</f>
        <v/>
      </c>
      <c r="L286" s="25">
        <f>E286*K286*(1-F286)</f>
        <v/>
      </c>
      <c r="M286" s="25">
        <f>L286*VLOOKUP(D286,Lookups!$A$5:$E$10,5,FALSE)</f>
        <v/>
      </c>
    </row>
    <row r="287">
      <c r="A287" s="21" t="inlineStr">
        <is>
          <t>INV-11124</t>
        </is>
      </c>
      <c r="B287" s="22" t="n">
        <v>45749</v>
      </c>
      <c r="C287" s="21" t="inlineStr">
        <is>
          <t>R02</t>
        </is>
      </c>
      <c r="D287" s="21" t="inlineStr">
        <is>
          <t>P100</t>
        </is>
      </c>
      <c r="E287" s="21" t="n">
        <v>4</v>
      </c>
      <c r="F287" s="23" t="n">
        <v>0.1</v>
      </c>
      <c r="G287" s="24">
        <f>TEXT(B287,"mmm")</f>
        <v/>
      </c>
      <c r="H287" s="24">
        <f>HLOOKUP(C287,Lookups!$H$4:$K$5,2,FALSE)</f>
        <v/>
      </c>
      <c r="I287" s="24">
        <f>VLOOKUP(D287,Lookups!$A$5:$E$10,2,FALSE)</f>
        <v/>
      </c>
      <c r="J287" s="24">
        <f>VLOOKUP(D287,Lookups!$A$5:$E$10,3,FALSE)</f>
        <v/>
      </c>
      <c r="K287" s="25">
        <f>VLOOKUP(D287,Lookups!$A$5:$E$10,4,FALSE)</f>
        <v/>
      </c>
      <c r="L287" s="25">
        <f>E287*K287*(1-F287)</f>
        <v/>
      </c>
      <c r="M287" s="25">
        <f>L287*VLOOKUP(D287,Lookups!$A$5:$E$10,5,FALSE)</f>
        <v/>
      </c>
    </row>
    <row r="288">
      <c r="A288" s="21" t="inlineStr">
        <is>
          <t>INV-10327</t>
        </is>
      </c>
      <c r="B288" s="22" t="n">
        <v>45750</v>
      </c>
      <c r="C288" s="21" t="inlineStr">
        <is>
          <t>R03</t>
        </is>
      </c>
      <c r="D288" s="21" t="inlineStr">
        <is>
          <t>P200</t>
        </is>
      </c>
      <c r="E288" s="21" t="n">
        <v>25</v>
      </c>
      <c r="F288" s="23" t="n">
        <v>0.1</v>
      </c>
      <c r="G288" s="24">
        <f>TEXT(B288,"mmm")</f>
        <v/>
      </c>
      <c r="H288" s="24">
        <f>HLOOKUP(C288,Lookups!$H$4:$K$5,2,FALSE)</f>
        <v/>
      </c>
      <c r="I288" s="24">
        <f>VLOOKUP(D288,Lookups!$A$5:$E$10,2,FALSE)</f>
        <v/>
      </c>
      <c r="J288" s="24">
        <f>VLOOKUP(D288,Lookups!$A$5:$E$10,3,FALSE)</f>
        <v/>
      </c>
      <c r="K288" s="25">
        <f>VLOOKUP(D288,Lookups!$A$5:$E$10,4,FALSE)</f>
        <v/>
      </c>
      <c r="L288" s="25">
        <f>E288*K288*(1-F288)</f>
        <v/>
      </c>
      <c r="M288" s="25">
        <f>L288*VLOOKUP(D288,Lookups!$A$5:$E$10,5,FALSE)</f>
        <v/>
      </c>
    </row>
    <row r="289">
      <c r="A289" s="21" t="inlineStr">
        <is>
          <t>INV-10331</t>
        </is>
      </c>
      <c r="B289" s="22" t="n">
        <v>45750</v>
      </c>
      <c r="C289" s="21" t="inlineStr">
        <is>
          <t>R02</t>
        </is>
      </c>
      <c r="D289" s="21" t="inlineStr">
        <is>
          <t>P600</t>
        </is>
      </c>
      <c r="E289" s="21" t="n">
        <v>24</v>
      </c>
      <c r="F289" s="23" t="n">
        <v>0.1</v>
      </c>
      <c r="G289" s="24">
        <f>TEXT(B289,"mmm")</f>
        <v/>
      </c>
      <c r="H289" s="24">
        <f>HLOOKUP(C289,Lookups!$H$4:$K$5,2,FALSE)</f>
        <v/>
      </c>
      <c r="I289" s="24">
        <f>VLOOKUP(D289,Lookups!$A$5:$E$10,2,FALSE)</f>
        <v/>
      </c>
      <c r="J289" s="24">
        <f>VLOOKUP(D289,Lookups!$A$5:$E$10,3,FALSE)</f>
        <v/>
      </c>
      <c r="K289" s="25">
        <f>VLOOKUP(D289,Lookups!$A$5:$E$10,4,FALSE)</f>
        <v/>
      </c>
      <c r="L289" s="25">
        <f>E289*K289*(1-F289)</f>
        <v/>
      </c>
      <c r="M289" s="25">
        <f>L289*VLOOKUP(D289,Lookups!$A$5:$E$10,5,FALSE)</f>
        <v/>
      </c>
    </row>
    <row r="290">
      <c r="A290" s="21" t="inlineStr">
        <is>
          <t>INV-10719</t>
        </is>
      </c>
      <c r="B290" s="22" t="n">
        <v>45750</v>
      </c>
      <c r="C290" s="21" t="inlineStr">
        <is>
          <t>R03</t>
        </is>
      </c>
      <c r="D290" s="21" t="inlineStr">
        <is>
          <t>P100</t>
        </is>
      </c>
      <c r="E290" s="21" t="n">
        <v>20</v>
      </c>
      <c r="F290" s="23" t="n">
        <v>0</v>
      </c>
      <c r="G290" s="24">
        <f>TEXT(B290,"mmm")</f>
        <v/>
      </c>
      <c r="H290" s="24">
        <f>HLOOKUP(C290,Lookups!$H$4:$K$5,2,FALSE)</f>
        <v/>
      </c>
      <c r="I290" s="24">
        <f>VLOOKUP(D290,Lookups!$A$5:$E$10,2,FALSE)</f>
        <v/>
      </c>
      <c r="J290" s="24">
        <f>VLOOKUP(D290,Lookups!$A$5:$E$10,3,FALSE)</f>
        <v/>
      </c>
      <c r="K290" s="25">
        <f>VLOOKUP(D290,Lookups!$A$5:$E$10,4,FALSE)</f>
        <v/>
      </c>
      <c r="L290" s="25">
        <f>E290*K290*(1-F290)</f>
        <v/>
      </c>
      <c r="M290" s="25">
        <f>L290*VLOOKUP(D290,Lookups!$A$5:$E$10,5,FALSE)</f>
        <v/>
      </c>
    </row>
    <row r="291">
      <c r="A291" s="21" t="inlineStr">
        <is>
          <t>INV-10863</t>
        </is>
      </c>
      <c r="B291" s="22" t="n">
        <v>45750</v>
      </c>
      <c r="C291" s="21" t="inlineStr">
        <is>
          <t>R04</t>
        </is>
      </c>
      <c r="D291" s="21" t="inlineStr">
        <is>
          <t>P500</t>
        </is>
      </c>
      <c r="E291" s="21" t="n">
        <v>25</v>
      </c>
      <c r="F291" s="23" t="n">
        <v>0.05</v>
      </c>
      <c r="G291" s="24">
        <f>TEXT(B291,"mmm")</f>
        <v/>
      </c>
      <c r="H291" s="24">
        <f>HLOOKUP(C291,Lookups!$H$4:$K$5,2,FALSE)</f>
        <v/>
      </c>
      <c r="I291" s="24">
        <f>VLOOKUP(D291,Lookups!$A$5:$E$10,2,FALSE)</f>
        <v/>
      </c>
      <c r="J291" s="24">
        <f>VLOOKUP(D291,Lookups!$A$5:$E$10,3,FALSE)</f>
        <v/>
      </c>
      <c r="K291" s="25">
        <f>VLOOKUP(D291,Lookups!$A$5:$E$10,4,FALSE)</f>
        <v/>
      </c>
      <c r="L291" s="25">
        <f>E291*K291*(1-F291)</f>
        <v/>
      </c>
      <c r="M291" s="25">
        <f>L291*VLOOKUP(D291,Lookups!$A$5:$E$10,5,FALSE)</f>
        <v/>
      </c>
    </row>
    <row r="292">
      <c r="A292" s="21" t="inlineStr">
        <is>
          <t>INV-10945</t>
        </is>
      </c>
      <c r="B292" s="22" t="n">
        <v>45750</v>
      </c>
      <c r="C292" s="21" t="inlineStr">
        <is>
          <t>R01</t>
        </is>
      </c>
      <c r="D292" s="21" t="inlineStr">
        <is>
          <t>P600</t>
        </is>
      </c>
      <c r="E292" s="21" t="n">
        <v>25</v>
      </c>
      <c r="F292" s="23" t="n">
        <v>0.1</v>
      </c>
      <c r="G292" s="24">
        <f>TEXT(B292,"mmm")</f>
        <v/>
      </c>
      <c r="H292" s="24">
        <f>HLOOKUP(C292,Lookups!$H$4:$K$5,2,FALSE)</f>
        <v/>
      </c>
      <c r="I292" s="24">
        <f>VLOOKUP(D292,Lookups!$A$5:$E$10,2,FALSE)</f>
        <v/>
      </c>
      <c r="J292" s="24">
        <f>VLOOKUP(D292,Lookups!$A$5:$E$10,3,FALSE)</f>
        <v/>
      </c>
      <c r="K292" s="25">
        <f>VLOOKUP(D292,Lookups!$A$5:$E$10,4,FALSE)</f>
        <v/>
      </c>
      <c r="L292" s="25">
        <f>E292*K292*(1-F292)</f>
        <v/>
      </c>
      <c r="M292" s="25">
        <f>L292*VLOOKUP(D292,Lookups!$A$5:$E$10,5,FALSE)</f>
        <v/>
      </c>
    </row>
    <row r="293">
      <c r="A293" s="21" t="inlineStr">
        <is>
          <t>INV-11097</t>
        </is>
      </c>
      <c r="B293" s="22" t="n">
        <v>45750</v>
      </c>
      <c r="C293" s="21" t="inlineStr">
        <is>
          <t>R03</t>
        </is>
      </c>
      <c r="D293" s="21" t="inlineStr">
        <is>
          <t>P200</t>
        </is>
      </c>
      <c r="E293" s="21" t="n">
        <v>13</v>
      </c>
      <c r="F293" s="23" t="n">
        <v>0</v>
      </c>
      <c r="G293" s="24">
        <f>TEXT(B293,"mmm")</f>
        <v/>
      </c>
      <c r="H293" s="24">
        <f>HLOOKUP(C293,Lookups!$H$4:$K$5,2,FALSE)</f>
        <v/>
      </c>
      <c r="I293" s="24">
        <f>VLOOKUP(D293,Lookups!$A$5:$E$10,2,FALSE)</f>
        <v/>
      </c>
      <c r="J293" s="24">
        <f>VLOOKUP(D293,Lookups!$A$5:$E$10,3,FALSE)</f>
        <v/>
      </c>
      <c r="K293" s="25">
        <f>VLOOKUP(D293,Lookups!$A$5:$E$10,4,FALSE)</f>
        <v/>
      </c>
      <c r="L293" s="25">
        <f>E293*K293*(1-F293)</f>
        <v/>
      </c>
      <c r="M293" s="25">
        <f>L293*VLOOKUP(D293,Lookups!$A$5:$E$10,5,FALSE)</f>
        <v/>
      </c>
    </row>
    <row r="294">
      <c r="A294" s="21" t="inlineStr">
        <is>
          <t>INV-11137</t>
        </is>
      </c>
      <c r="B294" s="22" t="n">
        <v>45750</v>
      </c>
      <c r="C294" s="21" t="inlineStr">
        <is>
          <t>R04</t>
        </is>
      </c>
      <c r="D294" s="21" t="inlineStr">
        <is>
          <t>P500</t>
        </is>
      </c>
      <c r="E294" s="21" t="n">
        <v>17</v>
      </c>
      <c r="F294" s="23" t="n">
        <v>0.05</v>
      </c>
      <c r="G294" s="24">
        <f>TEXT(B294,"mmm")</f>
        <v/>
      </c>
      <c r="H294" s="24">
        <f>HLOOKUP(C294,Lookups!$H$4:$K$5,2,FALSE)</f>
        <v/>
      </c>
      <c r="I294" s="24">
        <f>VLOOKUP(D294,Lookups!$A$5:$E$10,2,FALSE)</f>
        <v/>
      </c>
      <c r="J294" s="24">
        <f>VLOOKUP(D294,Lookups!$A$5:$E$10,3,FALSE)</f>
        <v/>
      </c>
      <c r="K294" s="25">
        <f>VLOOKUP(D294,Lookups!$A$5:$E$10,4,FALSE)</f>
        <v/>
      </c>
      <c r="L294" s="25">
        <f>E294*K294*(1-F294)</f>
        <v/>
      </c>
      <c r="M294" s="25">
        <f>L294*VLOOKUP(D294,Lookups!$A$5:$E$10,5,FALSE)</f>
        <v/>
      </c>
    </row>
    <row r="295">
      <c r="A295" s="21" t="inlineStr">
        <is>
          <t>INV-10126</t>
        </is>
      </c>
      <c r="B295" s="22" t="n">
        <v>45751</v>
      </c>
      <c r="C295" s="21" t="inlineStr">
        <is>
          <t>R03</t>
        </is>
      </c>
      <c r="D295" s="21" t="inlineStr">
        <is>
          <t>P100</t>
        </is>
      </c>
      <c r="E295" s="21" t="n">
        <v>13</v>
      </c>
      <c r="F295" s="23" t="n">
        <v>0.05</v>
      </c>
      <c r="G295" s="24">
        <f>TEXT(B295,"mmm")</f>
        <v/>
      </c>
      <c r="H295" s="24">
        <f>HLOOKUP(C295,Lookups!$H$4:$K$5,2,FALSE)</f>
        <v/>
      </c>
      <c r="I295" s="24">
        <f>VLOOKUP(D295,Lookups!$A$5:$E$10,2,FALSE)</f>
        <v/>
      </c>
      <c r="J295" s="24">
        <f>VLOOKUP(D295,Lookups!$A$5:$E$10,3,FALSE)</f>
        <v/>
      </c>
      <c r="K295" s="25">
        <f>VLOOKUP(D295,Lookups!$A$5:$E$10,4,FALSE)</f>
        <v/>
      </c>
      <c r="L295" s="25">
        <f>E295*K295*(1-F295)</f>
        <v/>
      </c>
      <c r="M295" s="25">
        <f>L295*VLOOKUP(D295,Lookups!$A$5:$E$10,5,FALSE)</f>
        <v/>
      </c>
    </row>
    <row r="296">
      <c r="A296" s="21" t="inlineStr">
        <is>
          <t>INV-10739</t>
        </is>
      </c>
      <c r="B296" s="22" t="n">
        <v>45751</v>
      </c>
      <c r="C296" s="21" t="inlineStr">
        <is>
          <t>R03</t>
        </is>
      </c>
      <c r="D296" s="21" t="inlineStr">
        <is>
          <t>P500</t>
        </is>
      </c>
      <c r="E296" s="21" t="n">
        <v>20</v>
      </c>
      <c r="F296" s="23" t="n">
        <v>0</v>
      </c>
      <c r="G296" s="24">
        <f>TEXT(B296,"mmm")</f>
        <v/>
      </c>
      <c r="H296" s="24">
        <f>HLOOKUP(C296,Lookups!$H$4:$K$5,2,FALSE)</f>
        <v/>
      </c>
      <c r="I296" s="24">
        <f>VLOOKUP(D296,Lookups!$A$5:$E$10,2,FALSE)</f>
        <v/>
      </c>
      <c r="J296" s="24">
        <f>VLOOKUP(D296,Lookups!$A$5:$E$10,3,FALSE)</f>
        <v/>
      </c>
      <c r="K296" s="25">
        <f>VLOOKUP(D296,Lookups!$A$5:$E$10,4,FALSE)</f>
        <v/>
      </c>
      <c r="L296" s="25">
        <f>E296*K296*(1-F296)</f>
        <v/>
      </c>
      <c r="M296" s="25">
        <f>L296*VLOOKUP(D296,Lookups!$A$5:$E$10,5,FALSE)</f>
        <v/>
      </c>
    </row>
    <row r="297">
      <c r="A297" s="21" t="inlineStr">
        <is>
          <t>INV-11031</t>
        </is>
      </c>
      <c r="B297" s="22" t="n">
        <v>45751</v>
      </c>
      <c r="C297" s="21" t="inlineStr">
        <is>
          <t>R02</t>
        </is>
      </c>
      <c r="D297" s="21" t="inlineStr">
        <is>
          <t>P600</t>
        </is>
      </c>
      <c r="E297" s="21" t="n">
        <v>16</v>
      </c>
      <c r="F297" s="23" t="n">
        <v>0</v>
      </c>
      <c r="G297" s="24">
        <f>TEXT(B297,"mmm")</f>
        <v/>
      </c>
      <c r="H297" s="24">
        <f>HLOOKUP(C297,Lookups!$H$4:$K$5,2,FALSE)</f>
        <v/>
      </c>
      <c r="I297" s="24">
        <f>VLOOKUP(D297,Lookups!$A$5:$E$10,2,FALSE)</f>
        <v/>
      </c>
      <c r="J297" s="24">
        <f>VLOOKUP(D297,Lookups!$A$5:$E$10,3,FALSE)</f>
        <v/>
      </c>
      <c r="K297" s="25">
        <f>VLOOKUP(D297,Lookups!$A$5:$E$10,4,FALSE)</f>
        <v/>
      </c>
      <c r="L297" s="25">
        <f>E297*K297*(1-F297)</f>
        <v/>
      </c>
      <c r="M297" s="25">
        <f>L297*VLOOKUP(D297,Lookups!$A$5:$E$10,5,FALSE)</f>
        <v/>
      </c>
    </row>
    <row r="298">
      <c r="A298" s="21" t="inlineStr">
        <is>
          <t>INV-10522</t>
        </is>
      </c>
      <c r="B298" s="22" t="n">
        <v>45752</v>
      </c>
      <c r="C298" s="21" t="inlineStr">
        <is>
          <t>R01</t>
        </is>
      </c>
      <c r="D298" s="21" t="inlineStr">
        <is>
          <t>P500</t>
        </is>
      </c>
      <c r="E298" s="21" t="n">
        <v>17</v>
      </c>
      <c r="F298" s="23" t="n">
        <v>0</v>
      </c>
      <c r="G298" s="24">
        <f>TEXT(B298,"mmm")</f>
        <v/>
      </c>
      <c r="H298" s="24">
        <f>HLOOKUP(C298,Lookups!$H$4:$K$5,2,FALSE)</f>
        <v/>
      </c>
      <c r="I298" s="24">
        <f>VLOOKUP(D298,Lookups!$A$5:$E$10,2,FALSE)</f>
        <v/>
      </c>
      <c r="J298" s="24">
        <f>VLOOKUP(D298,Lookups!$A$5:$E$10,3,FALSE)</f>
        <v/>
      </c>
      <c r="K298" s="25">
        <f>VLOOKUP(D298,Lookups!$A$5:$E$10,4,FALSE)</f>
        <v/>
      </c>
      <c r="L298" s="25">
        <f>E298*K298*(1-F298)</f>
        <v/>
      </c>
      <c r="M298" s="25">
        <f>L298*VLOOKUP(D298,Lookups!$A$5:$E$10,5,FALSE)</f>
        <v/>
      </c>
    </row>
    <row r="299">
      <c r="A299" s="21" t="inlineStr">
        <is>
          <t>INV-10762</t>
        </is>
      </c>
      <c r="B299" s="22" t="n">
        <v>45752</v>
      </c>
      <c r="C299" s="21" t="inlineStr">
        <is>
          <t>R04</t>
        </is>
      </c>
      <c r="D299" s="21" t="inlineStr">
        <is>
          <t>P300</t>
        </is>
      </c>
      <c r="E299" s="21" t="n">
        <v>12</v>
      </c>
      <c r="F299" s="23" t="n">
        <v>0</v>
      </c>
      <c r="G299" s="24">
        <f>TEXT(B299,"mmm")</f>
        <v/>
      </c>
      <c r="H299" s="24">
        <f>HLOOKUP(C299,Lookups!$H$4:$K$5,2,FALSE)</f>
        <v/>
      </c>
      <c r="I299" s="24">
        <f>VLOOKUP(D299,Lookups!$A$5:$E$10,2,FALSE)</f>
        <v/>
      </c>
      <c r="J299" s="24">
        <f>VLOOKUP(D299,Lookups!$A$5:$E$10,3,FALSE)</f>
        <v/>
      </c>
      <c r="K299" s="25">
        <f>VLOOKUP(D299,Lookups!$A$5:$E$10,4,FALSE)</f>
        <v/>
      </c>
      <c r="L299" s="25">
        <f>E299*K299*(1-F299)</f>
        <v/>
      </c>
      <c r="M299" s="25">
        <f>L299*VLOOKUP(D299,Lookups!$A$5:$E$10,5,FALSE)</f>
        <v/>
      </c>
    </row>
    <row r="300">
      <c r="A300" s="21" t="inlineStr">
        <is>
          <t>INV-10916</t>
        </is>
      </c>
      <c r="B300" s="22" t="n">
        <v>45752</v>
      </c>
      <c r="C300" s="21" t="inlineStr">
        <is>
          <t>R01</t>
        </is>
      </c>
      <c r="D300" s="21" t="inlineStr">
        <is>
          <t>P500</t>
        </is>
      </c>
      <c r="E300" s="21" t="n">
        <v>17</v>
      </c>
      <c r="F300" s="23" t="n">
        <v>0</v>
      </c>
      <c r="G300" s="24">
        <f>TEXT(B300,"mmm")</f>
        <v/>
      </c>
      <c r="H300" s="24">
        <f>HLOOKUP(C300,Lookups!$H$4:$K$5,2,FALSE)</f>
        <v/>
      </c>
      <c r="I300" s="24">
        <f>VLOOKUP(D300,Lookups!$A$5:$E$10,2,FALSE)</f>
        <v/>
      </c>
      <c r="J300" s="24">
        <f>VLOOKUP(D300,Lookups!$A$5:$E$10,3,FALSE)</f>
        <v/>
      </c>
      <c r="K300" s="25">
        <f>VLOOKUP(D300,Lookups!$A$5:$E$10,4,FALSE)</f>
        <v/>
      </c>
      <c r="L300" s="25">
        <f>E300*K300*(1-F300)</f>
        <v/>
      </c>
      <c r="M300" s="25">
        <f>L300*VLOOKUP(D300,Lookups!$A$5:$E$10,5,FALSE)</f>
        <v/>
      </c>
    </row>
    <row r="301">
      <c r="A301" s="21" t="inlineStr">
        <is>
          <t>INV-10060</t>
        </is>
      </c>
      <c r="B301" s="22" t="n">
        <v>45753</v>
      </c>
      <c r="C301" s="21" t="inlineStr">
        <is>
          <t>R01</t>
        </is>
      </c>
      <c r="D301" s="21" t="inlineStr">
        <is>
          <t>P100</t>
        </is>
      </c>
      <c r="E301" s="21" t="n">
        <v>22</v>
      </c>
      <c r="F301" s="23" t="n">
        <v>0</v>
      </c>
      <c r="G301" s="24">
        <f>TEXT(B301,"mmm")</f>
        <v/>
      </c>
      <c r="H301" s="24">
        <f>HLOOKUP(C301,Lookups!$H$4:$K$5,2,FALSE)</f>
        <v/>
      </c>
      <c r="I301" s="24">
        <f>VLOOKUP(D301,Lookups!$A$5:$E$10,2,FALSE)</f>
        <v/>
      </c>
      <c r="J301" s="24">
        <f>VLOOKUP(D301,Lookups!$A$5:$E$10,3,FALSE)</f>
        <v/>
      </c>
      <c r="K301" s="25">
        <f>VLOOKUP(D301,Lookups!$A$5:$E$10,4,FALSE)</f>
        <v/>
      </c>
      <c r="L301" s="25">
        <f>E301*K301*(1-F301)</f>
        <v/>
      </c>
      <c r="M301" s="25">
        <f>L301*VLOOKUP(D301,Lookups!$A$5:$E$10,5,FALSE)</f>
        <v/>
      </c>
    </row>
    <row r="302">
      <c r="A302" s="21" t="inlineStr">
        <is>
          <t>INV-10381</t>
        </is>
      </c>
      <c r="B302" s="22" t="n">
        <v>45753</v>
      </c>
      <c r="C302" s="21" t="inlineStr">
        <is>
          <t>R04</t>
        </is>
      </c>
      <c r="D302" s="21" t="inlineStr">
        <is>
          <t>P400</t>
        </is>
      </c>
      <c r="E302" s="21" t="n">
        <v>18</v>
      </c>
      <c r="F302" s="23" t="n">
        <v>0</v>
      </c>
      <c r="G302" s="24">
        <f>TEXT(B302,"mmm")</f>
        <v/>
      </c>
      <c r="H302" s="24">
        <f>HLOOKUP(C302,Lookups!$H$4:$K$5,2,FALSE)</f>
        <v/>
      </c>
      <c r="I302" s="24">
        <f>VLOOKUP(D302,Lookups!$A$5:$E$10,2,FALSE)</f>
        <v/>
      </c>
      <c r="J302" s="24">
        <f>VLOOKUP(D302,Lookups!$A$5:$E$10,3,FALSE)</f>
        <v/>
      </c>
      <c r="K302" s="25">
        <f>VLOOKUP(D302,Lookups!$A$5:$E$10,4,FALSE)</f>
        <v/>
      </c>
      <c r="L302" s="25">
        <f>E302*K302*(1-F302)</f>
        <v/>
      </c>
      <c r="M302" s="25">
        <f>L302*VLOOKUP(D302,Lookups!$A$5:$E$10,5,FALSE)</f>
        <v/>
      </c>
    </row>
    <row r="303">
      <c r="A303" s="21" t="inlineStr">
        <is>
          <t>INV-10910</t>
        </is>
      </c>
      <c r="B303" s="22" t="n">
        <v>45753</v>
      </c>
      <c r="C303" s="21" t="inlineStr">
        <is>
          <t>R01</t>
        </is>
      </c>
      <c r="D303" s="21" t="inlineStr">
        <is>
          <t>P200</t>
        </is>
      </c>
      <c r="E303" s="21" t="n">
        <v>13</v>
      </c>
      <c r="F303" s="23" t="n">
        <v>0</v>
      </c>
      <c r="G303" s="24">
        <f>TEXT(B303,"mmm")</f>
        <v/>
      </c>
      <c r="H303" s="24">
        <f>HLOOKUP(C303,Lookups!$H$4:$K$5,2,FALSE)</f>
        <v/>
      </c>
      <c r="I303" s="24">
        <f>VLOOKUP(D303,Lookups!$A$5:$E$10,2,FALSE)</f>
        <v/>
      </c>
      <c r="J303" s="24">
        <f>VLOOKUP(D303,Lookups!$A$5:$E$10,3,FALSE)</f>
        <v/>
      </c>
      <c r="K303" s="25">
        <f>VLOOKUP(D303,Lookups!$A$5:$E$10,4,FALSE)</f>
        <v/>
      </c>
      <c r="L303" s="25">
        <f>E303*K303*(1-F303)</f>
        <v/>
      </c>
      <c r="M303" s="25">
        <f>L303*VLOOKUP(D303,Lookups!$A$5:$E$10,5,FALSE)</f>
        <v/>
      </c>
    </row>
    <row r="304">
      <c r="A304" s="21" t="inlineStr">
        <is>
          <t>INV-11091</t>
        </is>
      </c>
      <c r="B304" s="22" t="n">
        <v>45753</v>
      </c>
      <c r="C304" s="21" t="inlineStr">
        <is>
          <t>R03</t>
        </is>
      </c>
      <c r="D304" s="21" t="inlineStr">
        <is>
          <t>P100</t>
        </is>
      </c>
      <c r="E304" s="21" t="n">
        <v>9</v>
      </c>
      <c r="F304" s="23" t="n">
        <v>0</v>
      </c>
      <c r="G304" s="24">
        <f>TEXT(B304,"mmm")</f>
        <v/>
      </c>
      <c r="H304" s="24">
        <f>HLOOKUP(C304,Lookups!$H$4:$K$5,2,FALSE)</f>
        <v/>
      </c>
      <c r="I304" s="24">
        <f>VLOOKUP(D304,Lookups!$A$5:$E$10,2,FALSE)</f>
        <v/>
      </c>
      <c r="J304" s="24">
        <f>VLOOKUP(D304,Lookups!$A$5:$E$10,3,FALSE)</f>
        <v/>
      </c>
      <c r="K304" s="25">
        <f>VLOOKUP(D304,Lookups!$A$5:$E$10,4,FALSE)</f>
        <v/>
      </c>
      <c r="L304" s="25">
        <f>E304*K304*(1-F304)</f>
        <v/>
      </c>
      <c r="M304" s="25">
        <f>L304*VLOOKUP(D304,Lookups!$A$5:$E$10,5,FALSE)</f>
        <v/>
      </c>
    </row>
    <row r="305">
      <c r="A305" s="21" t="inlineStr">
        <is>
          <t>INV-10190</t>
        </is>
      </c>
      <c r="B305" s="22" t="n">
        <v>45754</v>
      </c>
      <c r="C305" s="21" t="inlineStr">
        <is>
          <t>R03</t>
        </is>
      </c>
      <c r="D305" s="21" t="inlineStr">
        <is>
          <t>P500</t>
        </is>
      </c>
      <c r="E305" s="21" t="n">
        <v>20</v>
      </c>
      <c r="F305" s="23" t="n">
        <v>0.1</v>
      </c>
      <c r="G305" s="24">
        <f>TEXT(B305,"mmm")</f>
        <v/>
      </c>
      <c r="H305" s="24">
        <f>HLOOKUP(C305,Lookups!$H$4:$K$5,2,FALSE)</f>
        <v/>
      </c>
      <c r="I305" s="24">
        <f>VLOOKUP(D305,Lookups!$A$5:$E$10,2,FALSE)</f>
        <v/>
      </c>
      <c r="J305" s="24">
        <f>VLOOKUP(D305,Lookups!$A$5:$E$10,3,FALSE)</f>
        <v/>
      </c>
      <c r="K305" s="25">
        <f>VLOOKUP(D305,Lookups!$A$5:$E$10,4,FALSE)</f>
        <v/>
      </c>
      <c r="L305" s="25">
        <f>E305*K305*(1-F305)</f>
        <v/>
      </c>
      <c r="M305" s="25">
        <f>L305*VLOOKUP(D305,Lookups!$A$5:$E$10,5,FALSE)</f>
        <v/>
      </c>
    </row>
    <row r="306">
      <c r="A306" s="21" t="inlineStr">
        <is>
          <t>INV-10787</t>
        </is>
      </c>
      <c r="B306" s="22" t="n">
        <v>45754</v>
      </c>
      <c r="C306" s="21" t="inlineStr">
        <is>
          <t>R02</t>
        </is>
      </c>
      <c r="D306" s="21" t="inlineStr">
        <is>
          <t>P400</t>
        </is>
      </c>
      <c r="E306" s="21" t="n">
        <v>14</v>
      </c>
      <c r="F306" s="23" t="n">
        <v>0.1</v>
      </c>
      <c r="G306" s="24">
        <f>TEXT(B306,"mmm")</f>
        <v/>
      </c>
      <c r="H306" s="24">
        <f>HLOOKUP(C306,Lookups!$H$4:$K$5,2,FALSE)</f>
        <v/>
      </c>
      <c r="I306" s="24">
        <f>VLOOKUP(D306,Lookups!$A$5:$E$10,2,FALSE)</f>
        <v/>
      </c>
      <c r="J306" s="24">
        <f>VLOOKUP(D306,Lookups!$A$5:$E$10,3,FALSE)</f>
        <v/>
      </c>
      <c r="K306" s="25">
        <f>VLOOKUP(D306,Lookups!$A$5:$E$10,4,FALSE)</f>
        <v/>
      </c>
      <c r="L306" s="25">
        <f>E306*K306*(1-F306)</f>
        <v/>
      </c>
      <c r="M306" s="25">
        <f>L306*VLOOKUP(D306,Lookups!$A$5:$E$10,5,FALSE)</f>
        <v/>
      </c>
    </row>
    <row r="307">
      <c r="A307" s="21" t="inlineStr">
        <is>
          <t>INV-11083</t>
        </is>
      </c>
      <c r="B307" s="22" t="n">
        <v>45754</v>
      </c>
      <c r="C307" s="21" t="inlineStr">
        <is>
          <t>R04</t>
        </is>
      </c>
      <c r="D307" s="21" t="inlineStr">
        <is>
          <t>P400</t>
        </is>
      </c>
      <c r="E307" s="21" t="n">
        <v>13</v>
      </c>
      <c r="F307" s="23" t="n">
        <v>0</v>
      </c>
      <c r="G307" s="24">
        <f>TEXT(B307,"mmm")</f>
        <v/>
      </c>
      <c r="H307" s="24">
        <f>HLOOKUP(C307,Lookups!$H$4:$K$5,2,FALSE)</f>
        <v/>
      </c>
      <c r="I307" s="24">
        <f>VLOOKUP(D307,Lookups!$A$5:$E$10,2,FALSE)</f>
        <v/>
      </c>
      <c r="J307" s="24">
        <f>VLOOKUP(D307,Lookups!$A$5:$E$10,3,FALSE)</f>
        <v/>
      </c>
      <c r="K307" s="25">
        <f>VLOOKUP(D307,Lookups!$A$5:$E$10,4,FALSE)</f>
        <v/>
      </c>
      <c r="L307" s="25">
        <f>E307*K307*(1-F307)</f>
        <v/>
      </c>
      <c r="M307" s="25">
        <f>L307*VLOOKUP(D307,Lookups!$A$5:$E$10,5,FALSE)</f>
        <v/>
      </c>
    </row>
    <row r="308">
      <c r="A308" s="21" t="inlineStr">
        <is>
          <t>INV-10434</t>
        </is>
      </c>
      <c r="B308" s="22" t="n">
        <v>45755</v>
      </c>
      <c r="C308" s="21" t="inlineStr">
        <is>
          <t>R04</t>
        </is>
      </c>
      <c r="D308" s="21" t="inlineStr">
        <is>
          <t>P100</t>
        </is>
      </c>
      <c r="E308" s="21" t="n">
        <v>11</v>
      </c>
      <c r="F308" s="23" t="n">
        <v>0.1</v>
      </c>
      <c r="G308" s="24">
        <f>TEXT(B308,"mmm")</f>
        <v/>
      </c>
      <c r="H308" s="24">
        <f>HLOOKUP(C308,Lookups!$H$4:$K$5,2,FALSE)</f>
        <v/>
      </c>
      <c r="I308" s="24">
        <f>VLOOKUP(D308,Lookups!$A$5:$E$10,2,FALSE)</f>
        <v/>
      </c>
      <c r="J308" s="24">
        <f>VLOOKUP(D308,Lookups!$A$5:$E$10,3,FALSE)</f>
        <v/>
      </c>
      <c r="K308" s="25">
        <f>VLOOKUP(D308,Lookups!$A$5:$E$10,4,FALSE)</f>
        <v/>
      </c>
      <c r="L308" s="25">
        <f>E308*K308*(1-F308)</f>
        <v/>
      </c>
      <c r="M308" s="25">
        <f>L308*VLOOKUP(D308,Lookups!$A$5:$E$10,5,FALSE)</f>
        <v/>
      </c>
    </row>
    <row r="309">
      <c r="A309" s="21" t="inlineStr">
        <is>
          <t>INV-11121</t>
        </is>
      </c>
      <c r="B309" s="22" t="n">
        <v>45755</v>
      </c>
      <c r="C309" s="21" t="inlineStr">
        <is>
          <t>R04</t>
        </is>
      </c>
      <c r="D309" s="21" t="inlineStr">
        <is>
          <t>P500</t>
        </is>
      </c>
      <c r="E309" s="21" t="n">
        <v>25</v>
      </c>
      <c r="F309" s="23" t="n">
        <v>0</v>
      </c>
      <c r="G309" s="24">
        <f>TEXT(B309,"mmm")</f>
        <v/>
      </c>
      <c r="H309" s="24">
        <f>HLOOKUP(C309,Lookups!$H$4:$K$5,2,FALSE)</f>
        <v/>
      </c>
      <c r="I309" s="24">
        <f>VLOOKUP(D309,Lookups!$A$5:$E$10,2,FALSE)</f>
        <v/>
      </c>
      <c r="J309" s="24">
        <f>VLOOKUP(D309,Lookups!$A$5:$E$10,3,FALSE)</f>
        <v/>
      </c>
      <c r="K309" s="25">
        <f>VLOOKUP(D309,Lookups!$A$5:$E$10,4,FALSE)</f>
        <v/>
      </c>
      <c r="L309" s="25">
        <f>E309*K309*(1-F309)</f>
        <v/>
      </c>
      <c r="M309" s="25">
        <f>L309*VLOOKUP(D309,Lookups!$A$5:$E$10,5,FALSE)</f>
        <v/>
      </c>
    </row>
    <row r="310">
      <c r="A310" s="21" t="inlineStr">
        <is>
          <t>INV-11133</t>
        </is>
      </c>
      <c r="B310" s="22" t="n">
        <v>45755</v>
      </c>
      <c r="C310" s="21" t="inlineStr">
        <is>
          <t>R02</t>
        </is>
      </c>
      <c r="D310" s="21" t="inlineStr">
        <is>
          <t>P200</t>
        </is>
      </c>
      <c r="E310" s="21" t="n">
        <v>19</v>
      </c>
      <c r="F310" s="23" t="n">
        <v>0</v>
      </c>
      <c r="G310" s="24">
        <f>TEXT(B310,"mmm")</f>
        <v/>
      </c>
      <c r="H310" s="24">
        <f>HLOOKUP(C310,Lookups!$H$4:$K$5,2,FALSE)</f>
        <v/>
      </c>
      <c r="I310" s="24">
        <f>VLOOKUP(D310,Lookups!$A$5:$E$10,2,FALSE)</f>
        <v/>
      </c>
      <c r="J310" s="24">
        <f>VLOOKUP(D310,Lookups!$A$5:$E$10,3,FALSE)</f>
        <v/>
      </c>
      <c r="K310" s="25">
        <f>VLOOKUP(D310,Lookups!$A$5:$E$10,4,FALSE)</f>
        <v/>
      </c>
      <c r="L310" s="25">
        <f>E310*K310*(1-F310)</f>
        <v/>
      </c>
      <c r="M310" s="25">
        <f>L310*VLOOKUP(D310,Lookups!$A$5:$E$10,5,FALSE)</f>
        <v/>
      </c>
    </row>
    <row r="311">
      <c r="A311" s="21" t="inlineStr">
        <is>
          <t>INV-10155</t>
        </is>
      </c>
      <c r="B311" s="22" t="n">
        <v>45756</v>
      </c>
      <c r="C311" s="21" t="inlineStr">
        <is>
          <t>R01</t>
        </is>
      </c>
      <c r="D311" s="21" t="inlineStr">
        <is>
          <t>P300</t>
        </is>
      </c>
      <c r="E311" s="21" t="n">
        <v>24</v>
      </c>
      <c r="F311" s="23" t="n">
        <v>0</v>
      </c>
      <c r="G311" s="24">
        <f>TEXT(B311,"mmm")</f>
        <v/>
      </c>
      <c r="H311" s="24">
        <f>HLOOKUP(C311,Lookups!$H$4:$K$5,2,FALSE)</f>
        <v/>
      </c>
      <c r="I311" s="24">
        <f>VLOOKUP(D311,Lookups!$A$5:$E$10,2,FALSE)</f>
        <v/>
      </c>
      <c r="J311" s="24">
        <f>VLOOKUP(D311,Lookups!$A$5:$E$10,3,FALSE)</f>
        <v/>
      </c>
      <c r="K311" s="25">
        <f>VLOOKUP(D311,Lookups!$A$5:$E$10,4,FALSE)</f>
        <v/>
      </c>
      <c r="L311" s="25">
        <f>E311*K311*(1-F311)</f>
        <v/>
      </c>
      <c r="M311" s="25">
        <f>L311*VLOOKUP(D311,Lookups!$A$5:$E$10,5,FALSE)</f>
        <v/>
      </c>
    </row>
    <row r="312">
      <c r="A312" s="21" t="inlineStr">
        <is>
          <t>INV-10156</t>
        </is>
      </c>
      <c r="B312" s="22" t="n">
        <v>45756</v>
      </c>
      <c r="C312" s="21" t="inlineStr">
        <is>
          <t>R04</t>
        </is>
      </c>
      <c r="D312" s="21" t="inlineStr">
        <is>
          <t>P200</t>
        </is>
      </c>
      <c r="E312" s="21" t="n">
        <v>9</v>
      </c>
      <c r="F312" s="23" t="n">
        <v>0.05</v>
      </c>
      <c r="G312" s="24">
        <f>TEXT(B312,"mmm")</f>
        <v/>
      </c>
      <c r="H312" s="24">
        <f>HLOOKUP(C312,Lookups!$H$4:$K$5,2,FALSE)</f>
        <v/>
      </c>
      <c r="I312" s="24">
        <f>VLOOKUP(D312,Lookups!$A$5:$E$10,2,FALSE)</f>
        <v/>
      </c>
      <c r="J312" s="24">
        <f>VLOOKUP(D312,Lookups!$A$5:$E$10,3,FALSE)</f>
        <v/>
      </c>
      <c r="K312" s="25">
        <f>VLOOKUP(D312,Lookups!$A$5:$E$10,4,FALSE)</f>
        <v/>
      </c>
      <c r="L312" s="25">
        <f>E312*K312*(1-F312)</f>
        <v/>
      </c>
      <c r="M312" s="25">
        <f>L312*VLOOKUP(D312,Lookups!$A$5:$E$10,5,FALSE)</f>
        <v/>
      </c>
    </row>
    <row r="313">
      <c r="A313" s="21" t="inlineStr">
        <is>
          <t>INV-10328</t>
        </is>
      </c>
      <c r="B313" s="22" t="n">
        <v>45756</v>
      </c>
      <c r="C313" s="21" t="inlineStr">
        <is>
          <t>R02</t>
        </is>
      </c>
      <c r="D313" s="21" t="inlineStr">
        <is>
          <t>P200</t>
        </is>
      </c>
      <c r="E313" s="21" t="n">
        <v>5</v>
      </c>
      <c r="F313" s="23" t="n">
        <v>0</v>
      </c>
      <c r="G313" s="24">
        <f>TEXT(B313,"mmm")</f>
        <v/>
      </c>
      <c r="H313" s="24">
        <f>HLOOKUP(C313,Lookups!$H$4:$K$5,2,FALSE)</f>
        <v/>
      </c>
      <c r="I313" s="24">
        <f>VLOOKUP(D313,Lookups!$A$5:$E$10,2,FALSE)</f>
        <v/>
      </c>
      <c r="J313" s="24">
        <f>VLOOKUP(D313,Lookups!$A$5:$E$10,3,FALSE)</f>
        <v/>
      </c>
      <c r="K313" s="25">
        <f>VLOOKUP(D313,Lookups!$A$5:$E$10,4,FALSE)</f>
        <v/>
      </c>
      <c r="L313" s="25">
        <f>E313*K313*(1-F313)</f>
        <v/>
      </c>
      <c r="M313" s="25">
        <f>L313*VLOOKUP(D313,Lookups!$A$5:$E$10,5,FALSE)</f>
        <v/>
      </c>
    </row>
    <row r="314">
      <c r="A314" s="21" t="inlineStr">
        <is>
          <t>INV-10440</t>
        </is>
      </c>
      <c r="B314" s="22" t="n">
        <v>45756</v>
      </c>
      <c r="C314" s="21" t="inlineStr">
        <is>
          <t>R03</t>
        </is>
      </c>
      <c r="D314" s="21" t="inlineStr">
        <is>
          <t>P200</t>
        </is>
      </c>
      <c r="E314" s="21" t="n">
        <v>18</v>
      </c>
      <c r="F314" s="23" t="n">
        <v>0.05</v>
      </c>
      <c r="G314" s="24">
        <f>TEXT(B314,"mmm")</f>
        <v/>
      </c>
      <c r="H314" s="24">
        <f>HLOOKUP(C314,Lookups!$H$4:$K$5,2,FALSE)</f>
        <v/>
      </c>
      <c r="I314" s="24">
        <f>VLOOKUP(D314,Lookups!$A$5:$E$10,2,FALSE)</f>
        <v/>
      </c>
      <c r="J314" s="24">
        <f>VLOOKUP(D314,Lookups!$A$5:$E$10,3,FALSE)</f>
        <v/>
      </c>
      <c r="K314" s="25">
        <f>VLOOKUP(D314,Lookups!$A$5:$E$10,4,FALSE)</f>
        <v/>
      </c>
      <c r="L314" s="25">
        <f>E314*K314*(1-F314)</f>
        <v/>
      </c>
      <c r="M314" s="25">
        <f>L314*VLOOKUP(D314,Lookups!$A$5:$E$10,5,FALSE)</f>
        <v/>
      </c>
    </row>
    <row r="315">
      <c r="A315" s="21" t="inlineStr">
        <is>
          <t>INV-10771</t>
        </is>
      </c>
      <c r="B315" s="22" t="n">
        <v>45756</v>
      </c>
      <c r="C315" s="21" t="inlineStr">
        <is>
          <t>R01</t>
        </is>
      </c>
      <c r="D315" s="21" t="inlineStr">
        <is>
          <t>P200</t>
        </is>
      </c>
      <c r="E315" s="21" t="n">
        <v>14</v>
      </c>
      <c r="F315" s="23" t="n">
        <v>0</v>
      </c>
      <c r="G315" s="24">
        <f>TEXT(B315,"mmm")</f>
        <v/>
      </c>
      <c r="H315" s="24">
        <f>HLOOKUP(C315,Lookups!$H$4:$K$5,2,FALSE)</f>
        <v/>
      </c>
      <c r="I315" s="24">
        <f>VLOOKUP(D315,Lookups!$A$5:$E$10,2,FALSE)</f>
        <v/>
      </c>
      <c r="J315" s="24">
        <f>VLOOKUP(D315,Lookups!$A$5:$E$10,3,FALSE)</f>
        <v/>
      </c>
      <c r="K315" s="25">
        <f>VLOOKUP(D315,Lookups!$A$5:$E$10,4,FALSE)</f>
        <v/>
      </c>
      <c r="L315" s="25">
        <f>E315*K315*(1-F315)</f>
        <v/>
      </c>
      <c r="M315" s="25">
        <f>L315*VLOOKUP(D315,Lookups!$A$5:$E$10,5,FALSE)</f>
        <v/>
      </c>
    </row>
    <row r="316">
      <c r="A316" s="21" t="inlineStr">
        <is>
          <t>INV-11125</t>
        </is>
      </c>
      <c r="B316" s="22" t="n">
        <v>45756</v>
      </c>
      <c r="C316" s="21" t="inlineStr">
        <is>
          <t>R01</t>
        </is>
      </c>
      <c r="D316" s="21" t="inlineStr">
        <is>
          <t>P100</t>
        </is>
      </c>
      <c r="E316" s="21" t="n">
        <v>19</v>
      </c>
      <c r="F316" s="23" t="n">
        <v>0.1</v>
      </c>
      <c r="G316" s="24">
        <f>TEXT(B316,"mmm")</f>
        <v/>
      </c>
      <c r="H316" s="24">
        <f>HLOOKUP(C316,Lookups!$H$4:$K$5,2,FALSE)</f>
        <v/>
      </c>
      <c r="I316" s="24">
        <f>VLOOKUP(D316,Lookups!$A$5:$E$10,2,FALSE)</f>
        <v/>
      </c>
      <c r="J316" s="24">
        <f>VLOOKUP(D316,Lookups!$A$5:$E$10,3,FALSE)</f>
        <v/>
      </c>
      <c r="K316" s="25">
        <f>VLOOKUP(D316,Lookups!$A$5:$E$10,4,FALSE)</f>
        <v/>
      </c>
      <c r="L316" s="25">
        <f>E316*K316*(1-F316)</f>
        <v/>
      </c>
      <c r="M316" s="25">
        <f>L316*VLOOKUP(D316,Lookups!$A$5:$E$10,5,FALSE)</f>
        <v/>
      </c>
    </row>
    <row r="317">
      <c r="A317" s="21" t="inlineStr">
        <is>
          <t>INV-10335</t>
        </is>
      </c>
      <c r="B317" s="22" t="n">
        <v>45757</v>
      </c>
      <c r="C317" s="21" t="inlineStr">
        <is>
          <t>R04</t>
        </is>
      </c>
      <c r="D317" s="21" t="inlineStr">
        <is>
          <t>P300</t>
        </is>
      </c>
      <c r="E317" s="21" t="n">
        <v>15</v>
      </c>
      <c r="F317" s="23" t="n">
        <v>0.05</v>
      </c>
      <c r="G317" s="24">
        <f>TEXT(B317,"mmm")</f>
        <v/>
      </c>
      <c r="H317" s="24">
        <f>HLOOKUP(C317,Lookups!$H$4:$K$5,2,FALSE)</f>
        <v/>
      </c>
      <c r="I317" s="24">
        <f>VLOOKUP(D317,Lookups!$A$5:$E$10,2,FALSE)</f>
        <v/>
      </c>
      <c r="J317" s="24">
        <f>VLOOKUP(D317,Lookups!$A$5:$E$10,3,FALSE)</f>
        <v/>
      </c>
      <c r="K317" s="25">
        <f>VLOOKUP(D317,Lookups!$A$5:$E$10,4,FALSE)</f>
        <v/>
      </c>
      <c r="L317" s="25">
        <f>E317*K317*(1-F317)</f>
        <v/>
      </c>
      <c r="M317" s="25">
        <f>L317*VLOOKUP(D317,Lookups!$A$5:$E$10,5,FALSE)</f>
        <v/>
      </c>
    </row>
    <row r="318">
      <c r="A318" s="21" t="inlineStr">
        <is>
          <t>INV-10909</t>
        </is>
      </c>
      <c r="B318" s="22" t="n">
        <v>45757</v>
      </c>
      <c r="C318" s="21" t="inlineStr">
        <is>
          <t>R04</t>
        </is>
      </c>
      <c r="D318" s="21" t="inlineStr">
        <is>
          <t>P300</t>
        </is>
      </c>
      <c r="E318" s="21" t="n">
        <v>6</v>
      </c>
      <c r="F318" s="23" t="n">
        <v>0</v>
      </c>
      <c r="G318" s="24">
        <f>TEXT(B318,"mmm")</f>
        <v/>
      </c>
      <c r="H318" s="24">
        <f>HLOOKUP(C318,Lookups!$H$4:$K$5,2,FALSE)</f>
        <v/>
      </c>
      <c r="I318" s="24">
        <f>VLOOKUP(D318,Lookups!$A$5:$E$10,2,FALSE)</f>
        <v/>
      </c>
      <c r="J318" s="24">
        <f>VLOOKUP(D318,Lookups!$A$5:$E$10,3,FALSE)</f>
        <v/>
      </c>
      <c r="K318" s="25">
        <f>VLOOKUP(D318,Lookups!$A$5:$E$10,4,FALSE)</f>
        <v/>
      </c>
      <c r="L318" s="25">
        <f>E318*K318*(1-F318)</f>
        <v/>
      </c>
      <c r="M318" s="25">
        <f>L318*VLOOKUP(D318,Lookups!$A$5:$E$10,5,FALSE)</f>
        <v/>
      </c>
    </row>
    <row r="319">
      <c r="A319" s="21" t="inlineStr">
        <is>
          <t>INV-10397</t>
        </is>
      </c>
      <c r="B319" s="22" t="n">
        <v>45758</v>
      </c>
      <c r="C319" s="21" t="inlineStr">
        <is>
          <t>R03</t>
        </is>
      </c>
      <c r="D319" s="21" t="inlineStr">
        <is>
          <t>P600</t>
        </is>
      </c>
      <c r="E319" s="21" t="n">
        <v>5</v>
      </c>
      <c r="F319" s="23" t="n">
        <v>0.05</v>
      </c>
      <c r="G319" s="24">
        <f>TEXT(B319,"mmm")</f>
        <v/>
      </c>
      <c r="H319" s="24">
        <f>HLOOKUP(C319,Lookups!$H$4:$K$5,2,FALSE)</f>
        <v/>
      </c>
      <c r="I319" s="24">
        <f>VLOOKUP(D319,Lookups!$A$5:$E$10,2,FALSE)</f>
        <v/>
      </c>
      <c r="J319" s="24">
        <f>VLOOKUP(D319,Lookups!$A$5:$E$10,3,FALSE)</f>
        <v/>
      </c>
      <c r="K319" s="25">
        <f>VLOOKUP(D319,Lookups!$A$5:$E$10,4,FALSE)</f>
        <v/>
      </c>
      <c r="L319" s="25">
        <f>E319*K319*(1-F319)</f>
        <v/>
      </c>
      <c r="M319" s="25">
        <f>L319*VLOOKUP(D319,Lookups!$A$5:$E$10,5,FALSE)</f>
        <v/>
      </c>
    </row>
    <row r="320">
      <c r="A320" s="21" t="inlineStr">
        <is>
          <t>INV-10518</t>
        </is>
      </c>
      <c r="B320" s="22" t="n">
        <v>45758</v>
      </c>
      <c r="C320" s="21" t="inlineStr">
        <is>
          <t>R02</t>
        </is>
      </c>
      <c r="D320" s="21" t="inlineStr">
        <is>
          <t>P300</t>
        </is>
      </c>
      <c r="E320" s="21" t="n">
        <v>13</v>
      </c>
      <c r="F320" s="23" t="n">
        <v>0</v>
      </c>
      <c r="G320" s="24">
        <f>TEXT(B320,"mmm")</f>
        <v/>
      </c>
      <c r="H320" s="24">
        <f>HLOOKUP(C320,Lookups!$H$4:$K$5,2,FALSE)</f>
        <v/>
      </c>
      <c r="I320" s="24">
        <f>VLOOKUP(D320,Lookups!$A$5:$E$10,2,FALSE)</f>
        <v/>
      </c>
      <c r="J320" s="24">
        <f>VLOOKUP(D320,Lookups!$A$5:$E$10,3,FALSE)</f>
        <v/>
      </c>
      <c r="K320" s="25">
        <f>VLOOKUP(D320,Lookups!$A$5:$E$10,4,FALSE)</f>
        <v/>
      </c>
      <c r="L320" s="25">
        <f>E320*K320*(1-F320)</f>
        <v/>
      </c>
      <c r="M320" s="25">
        <f>L320*VLOOKUP(D320,Lookups!$A$5:$E$10,5,FALSE)</f>
        <v/>
      </c>
    </row>
    <row r="321">
      <c r="A321" s="21" t="inlineStr">
        <is>
          <t>INV-10224</t>
        </is>
      </c>
      <c r="B321" s="22" t="n">
        <v>45759</v>
      </c>
      <c r="C321" s="21" t="inlineStr">
        <is>
          <t>R04</t>
        </is>
      </c>
      <c r="D321" s="21" t="inlineStr">
        <is>
          <t>P400</t>
        </is>
      </c>
      <c r="E321" s="21" t="n">
        <v>4</v>
      </c>
      <c r="F321" s="23" t="n">
        <v>0</v>
      </c>
      <c r="G321" s="24">
        <f>TEXT(B321,"mmm")</f>
        <v/>
      </c>
      <c r="H321" s="24">
        <f>HLOOKUP(C321,Lookups!$H$4:$K$5,2,FALSE)</f>
        <v/>
      </c>
      <c r="I321" s="24">
        <f>VLOOKUP(D321,Lookups!$A$5:$E$10,2,FALSE)</f>
        <v/>
      </c>
      <c r="J321" s="24">
        <f>VLOOKUP(D321,Lookups!$A$5:$E$10,3,FALSE)</f>
        <v/>
      </c>
      <c r="K321" s="25">
        <f>VLOOKUP(D321,Lookups!$A$5:$E$10,4,FALSE)</f>
        <v/>
      </c>
      <c r="L321" s="25">
        <f>E321*K321*(1-F321)</f>
        <v/>
      </c>
      <c r="M321" s="25">
        <f>L321*VLOOKUP(D321,Lookups!$A$5:$E$10,5,FALSE)</f>
        <v/>
      </c>
    </row>
    <row r="322">
      <c r="A322" s="21" t="inlineStr">
        <is>
          <t>INV-10895</t>
        </is>
      </c>
      <c r="B322" s="22" t="n">
        <v>45760</v>
      </c>
      <c r="C322" s="21" t="inlineStr">
        <is>
          <t>R03</t>
        </is>
      </c>
      <c r="D322" s="21" t="inlineStr">
        <is>
          <t>P200</t>
        </is>
      </c>
      <c r="E322" s="21" t="n">
        <v>22</v>
      </c>
      <c r="F322" s="23" t="n">
        <v>0.05</v>
      </c>
      <c r="G322" s="24">
        <f>TEXT(B322,"mmm")</f>
        <v/>
      </c>
      <c r="H322" s="24">
        <f>HLOOKUP(C322,Lookups!$H$4:$K$5,2,FALSE)</f>
        <v/>
      </c>
      <c r="I322" s="24">
        <f>VLOOKUP(D322,Lookups!$A$5:$E$10,2,FALSE)</f>
        <v/>
      </c>
      <c r="J322" s="24">
        <f>VLOOKUP(D322,Lookups!$A$5:$E$10,3,FALSE)</f>
        <v/>
      </c>
      <c r="K322" s="25">
        <f>VLOOKUP(D322,Lookups!$A$5:$E$10,4,FALSE)</f>
        <v/>
      </c>
      <c r="L322" s="25">
        <f>E322*K322*(1-F322)</f>
        <v/>
      </c>
      <c r="M322" s="25">
        <f>L322*VLOOKUP(D322,Lookups!$A$5:$E$10,5,FALSE)</f>
        <v/>
      </c>
    </row>
    <row r="323">
      <c r="A323" s="21" t="inlineStr">
        <is>
          <t>INV-10696</t>
        </is>
      </c>
      <c r="B323" s="22" t="n">
        <v>45761</v>
      </c>
      <c r="C323" s="21" t="inlineStr">
        <is>
          <t>R01</t>
        </is>
      </c>
      <c r="D323" s="21" t="inlineStr">
        <is>
          <t>P200</t>
        </is>
      </c>
      <c r="E323" s="21" t="n">
        <v>5</v>
      </c>
      <c r="F323" s="23" t="n">
        <v>0</v>
      </c>
      <c r="G323" s="24">
        <f>TEXT(B323,"mmm")</f>
        <v/>
      </c>
      <c r="H323" s="24">
        <f>HLOOKUP(C323,Lookups!$H$4:$K$5,2,FALSE)</f>
        <v/>
      </c>
      <c r="I323" s="24">
        <f>VLOOKUP(D323,Lookups!$A$5:$E$10,2,FALSE)</f>
        <v/>
      </c>
      <c r="J323" s="24">
        <f>VLOOKUP(D323,Lookups!$A$5:$E$10,3,FALSE)</f>
        <v/>
      </c>
      <c r="K323" s="25">
        <f>VLOOKUP(D323,Lookups!$A$5:$E$10,4,FALSE)</f>
        <v/>
      </c>
      <c r="L323" s="25">
        <f>E323*K323*(1-F323)</f>
        <v/>
      </c>
      <c r="M323" s="25">
        <f>L323*VLOOKUP(D323,Lookups!$A$5:$E$10,5,FALSE)</f>
        <v/>
      </c>
    </row>
    <row r="324">
      <c r="A324" s="21" t="inlineStr">
        <is>
          <t>INV-11012</t>
        </is>
      </c>
      <c r="B324" s="22" t="n">
        <v>45761</v>
      </c>
      <c r="C324" s="21" t="inlineStr">
        <is>
          <t>R03</t>
        </is>
      </c>
      <c r="D324" s="21" t="inlineStr">
        <is>
          <t>P600</t>
        </is>
      </c>
      <c r="E324" s="21" t="n">
        <v>7</v>
      </c>
      <c r="F324" s="23" t="n">
        <v>0</v>
      </c>
      <c r="G324" s="24">
        <f>TEXT(B324,"mmm")</f>
        <v/>
      </c>
      <c r="H324" s="24">
        <f>HLOOKUP(C324,Lookups!$H$4:$K$5,2,FALSE)</f>
        <v/>
      </c>
      <c r="I324" s="24">
        <f>VLOOKUP(D324,Lookups!$A$5:$E$10,2,FALSE)</f>
        <v/>
      </c>
      <c r="J324" s="24">
        <f>VLOOKUP(D324,Lookups!$A$5:$E$10,3,FALSE)</f>
        <v/>
      </c>
      <c r="K324" s="25">
        <f>VLOOKUP(D324,Lookups!$A$5:$E$10,4,FALSE)</f>
        <v/>
      </c>
      <c r="L324" s="25">
        <f>E324*K324*(1-F324)</f>
        <v/>
      </c>
      <c r="M324" s="25">
        <f>L324*VLOOKUP(D324,Lookups!$A$5:$E$10,5,FALSE)</f>
        <v/>
      </c>
    </row>
    <row r="325">
      <c r="A325" s="21" t="inlineStr">
        <is>
          <t>INV-10406</t>
        </is>
      </c>
      <c r="B325" s="22" t="n">
        <v>45762</v>
      </c>
      <c r="C325" s="21" t="inlineStr">
        <is>
          <t>R02</t>
        </is>
      </c>
      <c r="D325" s="21" t="inlineStr">
        <is>
          <t>P300</t>
        </is>
      </c>
      <c r="E325" s="21" t="n">
        <v>11</v>
      </c>
      <c r="F325" s="23" t="n">
        <v>0.05</v>
      </c>
      <c r="G325" s="24">
        <f>TEXT(B325,"mmm")</f>
        <v/>
      </c>
      <c r="H325" s="24">
        <f>HLOOKUP(C325,Lookups!$H$4:$K$5,2,FALSE)</f>
        <v/>
      </c>
      <c r="I325" s="24">
        <f>VLOOKUP(D325,Lookups!$A$5:$E$10,2,FALSE)</f>
        <v/>
      </c>
      <c r="J325" s="24">
        <f>VLOOKUP(D325,Lookups!$A$5:$E$10,3,FALSE)</f>
        <v/>
      </c>
      <c r="K325" s="25">
        <f>VLOOKUP(D325,Lookups!$A$5:$E$10,4,FALSE)</f>
        <v/>
      </c>
      <c r="L325" s="25">
        <f>E325*K325*(1-F325)</f>
        <v/>
      </c>
      <c r="M325" s="25">
        <f>L325*VLOOKUP(D325,Lookups!$A$5:$E$10,5,FALSE)</f>
        <v/>
      </c>
    </row>
    <row r="326">
      <c r="A326" s="21" t="inlineStr">
        <is>
          <t>INV-11002</t>
        </is>
      </c>
      <c r="B326" s="22" t="n">
        <v>45762</v>
      </c>
      <c r="C326" s="21" t="inlineStr">
        <is>
          <t>R04</t>
        </is>
      </c>
      <c r="D326" s="21" t="inlineStr">
        <is>
          <t>P400</t>
        </is>
      </c>
      <c r="E326" s="21" t="n">
        <v>6</v>
      </c>
      <c r="F326" s="23" t="n">
        <v>0.05</v>
      </c>
      <c r="G326" s="24">
        <f>TEXT(B326,"mmm")</f>
        <v/>
      </c>
      <c r="H326" s="24">
        <f>HLOOKUP(C326,Lookups!$H$4:$K$5,2,FALSE)</f>
        <v/>
      </c>
      <c r="I326" s="24">
        <f>VLOOKUP(D326,Lookups!$A$5:$E$10,2,FALSE)</f>
        <v/>
      </c>
      <c r="J326" s="24">
        <f>VLOOKUP(D326,Lookups!$A$5:$E$10,3,FALSE)</f>
        <v/>
      </c>
      <c r="K326" s="25">
        <f>VLOOKUP(D326,Lookups!$A$5:$E$10,4,FALSE)</f>
        <v/>
      </c>
      <c r="L326" s="25">
        <f>E326*K326*(1-F326)</f>
        <v/>
      </c>
      <c r="M326" s="25">
        <f>L326*VLOOKUP(D326,Lookups!$A$5:$E$10,5,FALSE)</f>
        <v/>
      </c>
    </row>
    <row r="327">
      <c r="A327" s="21" t="inlineStr">
        <is>
          <t>INV-11174</t>
        </is>
      </c>
      <c r="B327" s="22" t="n">
        <v>45762</v>
      </c>
      <c r="C327" s="21" t="inlineStr">
        <is>
          <t>R03</t>
        </is>
      </c>
      <c r="D327" s="21" t="inlineStr">
        <is>
          <t>P500</t>
        </is>
      </c>
      <c r="E327" s="21" t="n">
        <v>18</v>
      </c>
      <c r="F327" s="23" t="n">
        <v>0.1</v>
      </c>
      <c r="G327" s="24">
        <f>TEXT(B327,"mmm")</f>
        <v/>
      </c>
      <c r="H327" s="24">
        <f>HLOOKUP(C327,Lookups!$H$4:$K$5,2,FALSE)</f>
        <v/>
      </c>
      <c r="I327" s="24">
        <f>VLOOKUP(D327,Lookups!$A$5:$E$10,2,FALSE)</f>
        <v/>
      </c>
      <c r="J327" s="24">
        <f>VLOOKUP(D327,Lookups!$A$5:$E$10,3,FALSE)</f>
        <v/>
      </c>
      <c r="K327" s="25">
        <f>VLOOKUP(D327,Lookups!$A$5:$E$10,4,FALSE)</f>
        <v/>
      </c>
      <c r="L327" s="25">
        <f>E327*K327*(1-F327)</f>
        <v/>
      </c>
      <c r="M327" s="25">
        <f>L327*VLOOKUP(D327,Lookups!$A$5:$E$10,5,FALSE)</f>
        <v/>
      </c>
    </row>
    <row r="328">
      <c r="A328" s="21" t="inlineStr">
        <is>
          <t>INV-10619</t>
        </is>
      </c>
      <c r="B328" s="22" t="n">
        <v>45763</v>
      </c>
      <c r="C328" s="21" t="inlineStr">
        <is>
          <t>R01</t>
        </is>
      </c>
      <c r="D328" s="21" t="inlineStr">
        <is>
          <t>P200</t>
        </is>
      </c>
      <c r="E328" s="21" t="n">
        <v>19</v>
      </c>
      <c r="F328" s="23" t="n">
        <v>0.05</v>
      </c>
      <c r="G328" s="24">
        <f>TEXT(B328,"mmm")</f>
        <v/>
      </c>
      <c r="H328" s="24">
        <f>HLOOKUP(C328,Lookups!$H$4:$K$5,2,FALSE)</f>
        <v/>
      </c>
      <c r="I328" s="24">
        <f>VLOOKUP(D328,Lookups!$A$5:$E$10,2,FALSE)</f>
        <v/>
      </c>
      <c r="J328" s="24">
        <f>VLOOKUP(D328,Lookups!$A$5:$E$10,3,FALSE)</f>
        <v/>
      </c>
      <c r="K328" s="25">
        <f>VLOOKUP(D328,Lookups!$A$5:$E$10,4,FALSE)</f>
        <v/>
      </c>
      <c r="L328" s="25">
        <f>E328*K328*(1-F328)</f>
        <v/>
      </c>
      <c r="M328" s="25">
        <f>L328*VLOOKUP(D328,Lookups!$A$5:$E$10,5,FALSE)</f>
        <v/>
      </c>
    </row>
    <row r="329">
      <c r="A329" s="21" t="inlineStr">
        <is>
          <t>INV-10169</t>
        </is>
      </c>
      <c r="B329" s="22" t="n">
        <v>45764</v>
      </c>
      <c r="C329" s="21" t="inlineStr">
        <is>
          <t>R02</t>
        </is>
      </c>
      <c r="D329" s="21" t="inlineStr">
        <is>
          <t>P600</t>
        </is>
      </c>
      <c r="E329" s="21" t="n">
        <v>9</v>
      </c>
      <c r="F329" s="23" t="n">
        <v>0</v>
      </c>
      <c r="G329" s="24">
        <f>TEXT(B329,"mmm")</f>
        <v/>
      </c>
      <c r="H329" s="24">
        <f>HLOOKUP(C329,Lookups!$H$4:$K$5,2,FALSE)</f>
        <v/>
      </c>
      <c r="I329" s="24">
        <f>VLOOKUP(D329,Lookups!$A$5:$E$10,2,FALSE)</f>
        <v/>
      </c>
      <c r="J329" s="24">
        <f>VLOOKUP(D329,Lookups!$A$5:$E$10,3,FALSE)</f>
        <v/>
      </c>
      <c r="K329" s="25">
        <f>VLOOKUP(D329,Lookups!$A$5:$E$10,4,FALSE)</f>
        <v/>
      </c>
      <c r="L329" s="25">
        <f>E329*K329*(1-F329)</f>
        <v/>
      </c>
      <c r="M329" s="25">
        <f>L329*VLOOKUP(D329,Lookups!$A$5:$E$10,5,FALSE)</f>
        <v/>
      </c>
    </row>
    <row r="330">
      <c r="A330" s="21" t="inlineStr">
        <is>
          <t>INV-10849</t>
        </is>
      </c>
      <c r="B330" s="22" t="n">
        <v>45764</v>
      </c>
      <c r="C330" s="21" t="inlineStr">
        <is>
          <t>R04</t>
        </is>
      </c>
      <c r="D330" s="21" t="inlineStr">
        <is>
          <t>P600</t>
        </is>
      </c>
      <c r="E330" s="21" t="n">
        <v>11</v>
      </c>
      <c r="F330" s="23" t="n">
        <v>0</v>
      </c>
      <c r="G330" s="24">
        <f>TEXT(B330,"mmm")</f>
        <v/>
      </c>
      <c r="H330" s="24">
        <f>HLOOKUP(C330,Lookups!$H$4:$K$5,2,FALSE)</f>
        <v/>
      </c>
      <c r="I330" s="24">
        <f>VLOOKUP(D330,Lookups!$A$5:$E$10,2,FALSE)</f>
        <v/>
      </c>
      <c r="J330" s="24">
        <f>VLOOKUP(D330,Lookups!$A$5:$E$10,3,FALSE)</f>
        <v/>
      </c>
      <c r="K330" s="25">
        <f>VLOOKUP(D330,Lookups!$A$5:$E$10,4,FALSE)</f>
        <v/>
      </c>
      <c r="L330" s="25">
        <f>E330*K330*(1-F330)</f>
        <v/>
      </c>
      <c r="M330" s="25">
        <f>L330*VLOOKUP(D330,Lookups!$A$5:$E$10,5,FALSE)</f>
        <v/>
      </c>
    </row>
    <row r="331">
      <c r="A331" s="21" t="inlineStr">
        <is>
          <t>INV-10080</t>
        </is>
      </c>
      <c r="B331" s="22" t="n">
        <v>45765</v>
      </c>
      <c r="C331" s="21" t="inlineStr">
        <is>
          <t>R02</t>
        </is>
      </c>
      <c r="D331" s="21" t="inlineStr">
        <is>
          <t>P600</t>
        </is>
      </c>
      <c r="E331" s="21" t="n">
        <v>22</v>
      </c>
      <c r="F331" s="23" t="n">
        <v>0</v>
      </c>
      <c r="G331" s="24">
        <f>TEXT(B331,"mmm")</f>
        <v/>
      </c>
      <c r="H331" s="24">
        <f>HLOOKUP(C331,Lookups!$H$4:$K$5,2,FALSE)</f>
        <v/>
      </c>
      <c r="I331" s="24">
        <f>VLOOKUP(D331,Lookups!$A$5:$E$10,2,FALSE)</f>
        <v/>
      </c>
      <c r="J331" s="24">
        <f>VLOOKUP(D331,Lookups!$A$5:$E$10,3,FALSE)</f>
        <v/>
      </c>
      <c r="K331" s="25">
        <f>VLOOKUP(D331,Lookups!$A$5:$E$10,4,FALSE)</f>
        <v/>
      </c>
      <c r="L331" s="25">
        <f>E331*K331*(1-F331)</f>
        <v/>
      </c>
      <c r="M331" s="25">
        <f>L331*VLOOKUP(D331,Lookups!$A$5:$E$10,5,FALSE)</f>
        <v/>
      </c>
    </row>
    <row r="332">
      <c r="A332" s="21" t="inlineStr">
        <is>
          <t>INV-10099</t>
        </is>
      </c>
      <c r="B332" s="22" t="n">
        <v>45765</v>
      </c>
      <c r="C332" s="21" t="inlineStr">
        <is>
          <t>R03</t>
        </is>
      </c>
      <c r="D332" s="21" t="inlineStr">
        <is>
          <t>P400</t>
        </is>
      </c>
      <c r="E332" s="21" t="n">
        <v>15</v>
      </c>
      <c r="F332" s="23" t="n">
        <v>0.1</v>
      </c>
      <c r="G332" s="24">
        <f>TEXT(B332,"mmm")</f>
        <v/>
      </c>
      <c r="H332" s="24">
        <f>HLOOKUP(C332,Lookups!$H$4:$K$5,2,FALSE)</f>
        <v/>
      </c>
      <c r="I332" s="24">
        <f>VLOOKUP(D332,Lookups!$A$5:$E$10,2,FALSE)</f>
        <v/>
      </c>
      <c r="J332" s="24">
        <f>VLOOKUP(D332,Lookups!$A$5:$E$10,3,FALSE)</f>
        <v/>
      </c>
      <c r="K332" s="25">
        <f>VLOOKUP(D332,Lookups!$A$5:$E$10,4,FALSE)</f>
        <v/>
      </c>
      <c r="L332" s="25">
        <f>E332*K332*(1-F332)</f>
        <v/>
      </c>
      <c r="M332" s="25">
        <f>L332*VLOOKUP(D332,Lookups!$A$5:$E$10,5,FALSE)</f>
        <v/>
      </c>
    </row>
    <row r="333">
      <c r="A333" s="21" t="inlineStr">
        <is>
          <t>INV-10927</t>
        </is>
      </c>
      <c r="B333" s="22" t="n">
        <v>45765</v>
      </c>
      <c r="C333" s="21" t="inlineStr">
        <is>
          <t>R02</t>
        </is>
      </c>
      <c r="D333" s="21" t="inlineStr">
        <is>
          <t>P600</t>
        </is>
      </c>
      <c r="E333" s="21" t="n">
        <v>22</v>
      </c>
      <c r="F333" s="23" t="n">
        <v>0.1</v>
      </c>
      <c r="G333" s="24">
        <f>TEXT(B333,"mmm")</f>
        <v/>
      </c>
      <c r="H333" s="24">
        <f>HLOOKUP(C333,Lookups!$H$4:$K$5,2,FALSE)</f>
        <v/>
      </c>
      <c r="I333" s="24">
        <f>VLOOKUP(D333,Lookups!$A$5:$E$10,2,FALSE)</f>
        <v/>
      </c>
      <c r="J333" s="24">
        <f>VLOOKUP(D333,Lookups!$A$5:$E$10,3,FALSE)</f>
        <v/>
      </c>
      <c r="K333" s="25">
        <f>VLOOKUP(D333,Lookups!$A$5:$E$10,4,FALSE)</f>
        <v/>
      </c>
      <c r="L333" s="25">
        <f>E333*K333*(1-F333)</f>
        <v/>
      </c>
      <c r="M333" s="25">
        <f>L333*VLOOKUP(D333,Lookups!$A$5:$E$10,5,FALSE)</f>
        <v/>
      </c>
    </row>
    <row r="334">
      <c r="A334" s="21" t="inlineStr">
        <is>
          <t>INV-11067</t>
        </is>
      </c>
      <c r="B334" s="22" t="n">
        <v>45765</v>
      </c>
      <c r="C334" s="21" t="inlineStr">
        <is>
          <t>R04</t>
        </is>
      </c>
      <c r="D334" s="21" t="inlineStr">
        <is>
          <t>P200</t>
        </is>
      </c>
      <c r="E334" s="21" t="n">
        <v>4</v>
      </c>
      <c r="F334" s="23" t="n">
        <v>0</v>
      </c>
      <c r="G334" s="24">
        <f>TEXT(B334,"mmm")</f>
        <v/>
      </c>
      <c r="H334" s="24">
        <f>HLOOKUP(C334,Lookups!$H$4:$K$5,2,FALSE)</f>
        <v/>
      </c>
      <c r="I334" s="24">
        <f>VLOOKUP(D334,Lookups!$A$5:$E$10,2,FALSE)</f>
        <v/>
      </c>
      <c r="J334" s="24">
        <f>VLOOKUP(D334,Lookups!$A$5:$E$10,3,FALSE)</f>
        <v/>
      </c>
      <c r="K334" s="25">
        <f>VLOOKUP(D334,Lookups!$A$5:$E$10,4,FALSE)</f>
        <v/>
      </c>
      <c r="L334" s="25">
        <f>E334*K334*(1-F334)</f>
        <v/>
      </c>
      <c r="M334" s="25">
        <f>L334*VLOOKUP(D334,Lookups!$A$5:$E$10,5,FALSE)</f>
        <v/>
      </c>
    </row>
    <row r="335">
      <c r="A335" s="21" t="inlineStr">
        <is>
          <t>INV-10038</t>
        </is>
      </c>
      <c r="B335" s="22" t="n">
        <v>45766</v>
      </c>
      <c r="C335" s="21" t="inlineStr">
        <is>
          <t>R02</t>
        </is>
      </c>
      <c r="D335" s="21" t="inlineStr">
        <is>
          <t>P500</t>
        </is>
      </c>
      <c r="E335" s="21" t="n">
        <v>23</v>
      </c>
      <c r="F335" s="23" t="n">
        <v>0.05</v>
      </c>
      <c r="G335" s="24">
        <f>TEXT(B335,"mmm")</f>
        <v/>
      </c>
      <c r="H335" s="24">
        <f>HLOOKUP(C335,Lookups!$H$4:$K$5,2,FALSE)</f>
        <v/>
      </c>
      <c r="I335" s="24">
        <f>VLOOKUP(D335,Lookups!$A$5:$E$10,2,FALSE)</f>
        <v/>
      </c>
      <c r="J335" s="24">
        <f>VLOOKUP(D335,Lookups!$A$5:$E$10,3,FALSE)</f>
        <v/>
      </c>
      <c r="K335" s="25">
        <f>VLOOKUP(D335,Lookups!$A$5:$E$10,4,FALSE)</f>
        <v/>
      </c>
      <c r="L335" s="25">
        <f>E335*K335*(1-F335)</f>
        <v/>
      </c>
      <c r="M335" s="25">
        <f>L335*VLOOKUP(D335,Lookups!$A$5:$E$10,5,FALSE)</f>
        <v/>
      </c>
    </row>
    <row r="336">
      <c r="A336" s="21" t="inlineStr">
        <is>
          <t>INV-10127</t>
        </is>
      </c>
      <c r="B336" s="22" t="n">
        <v>45766</v>
      </c>
      <c r="C336" s="21" t="inlineStr">
        <is>
          <t>R03</t>
        </is>
      </c>
      <c r="D336" s="21" t="inlineStr">
        <is>
          <t>P400</t>
        </is>
      </c>
      <c r="E336" s="21" t="n">
        <v>11</v>
      </c>
      <c r="F336" s="23" t="n">
        <v>0.1</v>
      </c>
      <c r="G336" s="24">
        <f>TEXT(B336,"mmm")</f>
        <v/>
      </c>
      <c r="H336" s="24">
        <f>HLOOKUP(C336,Lookups!$H$4:$K$5,2,FALSE)</f>
        <v/>
      </c>
      <c r="I336" s="24">
        <f>VLOOKUP(D336,Lookups!$A$5:$E$10,2,FALSE)</f>
        <v/>
      </c>
      <c r="J336" s="24">
        <f>VLOOKUP(D336,Lookups!$A$5:$E$10,3,FALSE)</f>
        <v/>
      </c>
      <c r="K336" s="25">
        <f>VLOOKUP(D336,Lookups!$A$5:$E$10,4,FALSE)</f>
        <v/>
      </c>
      <c r="L336" s="25">
        <f>E336*K336*(1-F336)</f>
        <v/>
      </c>
      <c r="M336" s="25">
        <f>L336*VLOOKUP(D336,Lookups!$A$5:$E$10,5,FALSE)</f>
        <v/>
      </c>
    </row>
    <row r="337">
      <c r="A337" s="21" t="inlineStr">
        <is>
          <t>INV-10631</t>
        </is>
      </c>
      <c r="B337" s="22" t="n">
        <v>45766</v>
      </c>
      <c r="C337" s="21" t="inlineStr">
        <is>
          <t>R03</t>
        </is>
      </c>
      <c r="D337" s="21" t="inlineStr">
        <is>
          <t>P400</t>
        </is>
      </c>
      <c r="E337" s="21" t="n">
        <v>11</v>
      </c>
      <c r="F337" s="23" t="n">
        <v>0.05</v>
      </c>
      <c r="G337" s="24">
        <f>TEXT(B337,"mmm")</f>
        <v/>
      </c>
      <c r="H337" s="24">
        <f>HLOOKUP(C337,Lookups!$H$4:$K$5,2,FALSE)</f>
        <v/>
      </c>
      <c r="I337" s="24">
        <f>VLOOKUP(D337,Lookups!$A$5:$E$10,2,FALSE)</f>
        <v/>
      </c>
      <c r="J337" s="24">
        <f>VLOOKUP(D337,Lookups!$A$5:$E$10,3,FALSE)</f>
        <v/>
      </c>
      <c r="K337" s="25">
        <f>VLOOKUP(D337,Lookups!$A$5:$E$10,4,FALSE)</f>
        <v/>
      </c>
      <c r="L337" s="25">
        <f>E337*K337*(1-F337)</f>
        <v/>
      </c>
      <c r="M337" s="25">
        <f>L337*VLOOKUP(D337,Lookups!$A$5:$E$10,5,FALSE)</f>
        <v/>
      </c>
    </row>
    <row r="338">
      <c r="A338" s="21" t="inlineStr">
        <is>
          <t>INV-10976</t>
        </is>
      </c>
      <c r="B338" s="22" t="n">
        <v>45766</v>
      </c>
      <c r="C338" s="21" t="inlineStr">
        <is>
          <t>R02</t>
        </is>
      </c>
      <c r="D338" s="21" t="inlineStr">
        <is>
          <t>P200</t>
        </is>
      </c>
      <c r="E338" s="21" t="n">
        <v>6</v>
      </c>
      <c r="F338" s="23" t="n">
        <v>0.05</v>
      </c>
      <c r="G338" s="24">
        <f>TEXT(B338,"mmm")</f>
        <v/>
      </c>
      <c r="H338" s="24">
        <f>HLOOKUP(C338,Lookups!$H$4:$K$5,2,FALSE)</f>
        <v/>
      </c>
      <c r="I338" s="24">
        <f>VLOOKUP(D338,Lookups!$A$5:$E$10,2,FALSE)</f>
        <v/>
      </c>
      <c r="J338" s="24">
        <f>VLOOKUP(D338,Lookups!$A$5:$E$10,3,FALSE)</f>
        <v/>
      </c>
      <c r="K338" s="25">
        <f>VLOOKUP(D338,Lookups!$A$5:$E$10,4,FALSE)</f>
        <v/>
      </c>
      <c r="L338" s="25">
        <f>E338*K338*(1-F338)</f>
        <v/>
      </c>
      <c r="M338" s="25">
        <f>L338*VLOOKUP(D338,Lookups!$A$5:$E$10,5,FALSE)</f>
        <v/>
      </c>
    </row>
    <row r="339">
      <c r="A339" s="21" t="inlineStr">
        <is>
          <t>INV-10447</t>
        </is>
      </c>
      <c r="B339" s="22" t="n">
        <v>45767</v>
      </c>
      <c r="C339" s="21" t="inlineStr">
        <is>
          <t>R03</t>
        </is>
      </c>
      <c r="D339" s="21" t="inlineStr">
        <is>
          <t>P200</t>
        </is>
      </c>
      <c r="E339" s="21" t="n">
        <v>18</v>
      </c>
      <c r="F339" s="23" t="n">
        <v>0.05</v>
      </c>
      <c r="G339" s="24">
        <f>TEXT(B339,"mmm")</f>
        <v/>
      </c>
      <c r="H339" s="24">
        <f>HLOOKUP(C339,Lookups!$H$4:$K$5,2,FALSE)</f>
        <v/>
      </c>
      <c r="I339" s="24">
        <f>VLOOKUP(D339,Lookups!$A$5:$E$10,2,FALSE)</f>
        <v/>
      </c>
      <c r="J339" s="24">
        <f>VLOOKUP(D339,Lookups!$A$5:$E$10,3,FALSE)</f>
        <v/>
      </c>
      <c r="K339" s="25">
        <f>VLOOKUP(D339,Lookups!$A$5:$E$10,4,FALSE)</f>
        <v/>
      </c>
      <c r="L339" s="25">
        <f>E339*K339*(1-F339)</f>
        <v/>
      </c>
      <c r="M339" s="25">
        <f>L339*VLOOKUP(D339,Lookups!$A$5:$E$10,5,FALSE)</f>
        <v/>
      </c>
    </row>
    <row r="340">
      <c r="A340" s="21" t="inlineStr">
        <is>
          <t>INV-10648</t>
        </is>
      </c>
      <c r="B340" s="22" t="n">
        <v>45767</v>
      </c>
      <c r="C340" s="21" t="inlineStr">
        <is>
          <t>R02</t>
        </is>
      </c>
      <c r="D340" s="21" t="inlineStr">
        <is>
          <t>P600</t>
        </is>
      </c>
      <c r="E340" s="21" t="n">
        <v>14</v>
      </c>
      <c r="F340" s="23" t="n">
        <v>0.1</v>
      </c>
      <c r="G340" s="24">
        <f>TEXT(B340,"mmm")</f>
        <v/>
      </c>
      <c r="H340" s="24">
        <f>HLOOKUP(C340,Lookups!$H$4:$K$5,2,FALSE)</f>
        <v/>
      </c>
      <c r="I340" s="24">
        <f>VLOOKUP(D340,Lookups!$A$5:$E$10,2,FALSE)</f>
        <v/>
      </c>
      <c r="J340" s="24">
        <f>VLOOKUP(D340,Lookups!$A$5:$E$10,3,FALSE)</f>
        <v/>
      </c>
      <c r="K340" s="25">
        <f>VLOOKUP(D340,Lookups!$A$5:$E$10,4,FALSE)</f>
        <v/>
      </c>
      <c r="L340" s="25">
        <f>E340*K340*(1-F340)</f>
        <v/>
      </c>
      <c r="M340" s="25">
        <f>L340*VLOOKUP(D340,Lookups!$A$5:$E$10,5,FALSE)</f>
        <v/>
      </c>
    </row>
    <row r="341">
      <c r="A341" s="21" t="inlineStr">
        <is>
          <t>INV-10008</t>
        </is>
      </c>
      <c r="B341" s="22" t="n">
        <v>45768</v>
      </c>
      <c r="C341" s="21" t="inlineStr">
        <is>
          <t>R01</t>
        </is>
      </c>
      <c r="D341" s="21" t="inlineStr">
        <is>
          <t>P300</t>
        </is>
      </c>
      <c r="E341" s="21" t="n">
        <v>3</v>
      </c>
      <c r="F341" s="23" t="n">
        <v>0.1</v>
      </c>
      <c r="G341" s="24">
        <f>TEXT(B341,"mmm")</f>
        <v/>
      </c>
      <c r="H341" s="24">
        <f>HLOOKUP(C341,Lookups!$H$4:$K$5,2,FALSE)</f>
        <v/>
      </c>
      <c r="I341" s="24">
        <f>VLOOKUP(D341,Lookups!$A$5:$E$10,2,FALSE)</f>
        <v/>
      </c>
      <c r="J341" s="24">
        <f>VLOOKUP(D341,Lookups!$A$5:$E$10,3,FALSE)</f>
        <v/>
      </c>
      <c r="K341" s="25">
        <f>VLOOKUP(D341,Lookups!$A$5:$E$10,4,FALSE)</f>
        <v/>
      </c>
      <c r="L341" s="25">
        <f>E341*K341*(1-F341)</f>
        <v/>
      </c>
      <c r="M341" s="25">
        <f>L341*VLOOKUP(D341,Lookups!$A$5:$E$10,5,FALSE)</f>
        <v/>
      </c>
    </row>
    <row r="342">
      <c r="A342" s="21" t="inlineStr">
        <is>
          <t>INV-10289</t>
        </is>
      </c>
      <c r="B342" s="22" t="n">
        <v>45768</v>
      </c>
      <c r="C342" s="21" t="inlineStr">
        <is>
          <t>R01</t>
        </is>
      </c>
      <c r="D342" s="21" t="inlineStr">
        <is>
          <t>P500</t>
        </is>
      </c>
      <c r="E342" s="21" t="n">
        <v>12</v>
      </c>
      <c r="F342" s="23" t="n">
        <v>0.1</v>
      </c>
      <c r="G342" s="24">
        <f>TEXT(B342,"mmm")</f>
        <v/>
      </c>
      <c r="H342" s="24">
        <f>HLOOKUP(C342,Lookups!$H$4:$K$5,2,FALSE)</f>
        <v/>
      </c>
      <c r="I342" s="24">
        <f>VLOOKUP(D342,Lookups!$A$5:$E$10,2,FALSE)</f>
        <v/>
      </c>
      <c r="J342" s="24">
        <f>VLOOKUP(D342,Lookups!$A$5:$E$10,3,FALSE)</f>
        <v/>
      </c>
      <c r="K342" s="25">
        <f>VLOOKUP(D342,Lookups!$A$5:$E$10,4,FALSE)</f>
        <v/>
      </c>
      <c r="L342" s="25">
        <f>E342*K342*(1-F342)</f>
        <v/>
      </c>
      <c r="M342" s="25">
        <f>L342*VLOOKUP(D342,Lookups!$A$5:$E$10,5,FALSE)</f>
        <v/>
      </c>
    </row>
    <row r="343">
      <c r="A343" s="21" t="inlineStr">
        <is>
          <t>INV-10701</t>
        </is>
      </c>
      <c r="B343" s="22" t="n">
        <v>45768</v>
      </c>
      <c r="C343" s="21" t="inlineStr">
        <is>
          <t>R02</t>
        </is>
      </c>
      <c r="D343" s="21" t="inlineStr">
        <is>
          <t>P300</t>
        </is>
      </c>
      <c r="E343" s="21" t="n">
        <v>3</v>
      </c>
      <c r="F343" s="23" t="n">
        <v>0</v>
      </c>
      <c r="G343" s="24">
        <f>TEXT(B343,"mmm")</f>
        <v/>
      </c>
      <c r="H343" s="24">
        <f>HLOOKUP(C343,Lookups!$H$4:$K$5,2,FALSE)</f>
        <v/>
      </c>
      <c r="I343" s="24">
        <f>VLOOKUP(D343,Lookups!$A$5:$E$10,2,FALSE)</f>
        <v/>
      </c>
      <c r="J343" s="24">
        <f>VLOOKUP(D343,Lookups!$A$5:$E$10,3,FALSE)</f>
        <v/>
      </c>
      <c r="K343" s="25">
        <f>VLOOKUP(D343,Lookups!$A$5:$E$10,4,FALSE)</f>
        <v/>
      </c>
      <c r="L343" s="25">
        <f>E343*K343*(1-F343)</f>
        <v/>
      </c>
      <c r="M343" s="25">
        <f>L343*VLOOKUP(D343,Lookups!$A$5:$E$10,5,FALSE)</f>
        <v/>
      </c>
    </row>
    <row r="344">
      <c r="A344" s="21" t="inlineStr">
        <is>
          <t>INV-10649</t>
        </is>
      </c>
      <c r="B344" s="22" t="n">
        <v>45769</v>
      </c>
      <c r="C344" s="21" t="inlineStr">
        <is>
          <t>R01</t>
        </is>
      </c>
      <c r="D344" s="21" t="inlineStr">
        <is>
          <t>P100</t>
        </is>
      </c>
      <c r="E344" s="21" t="n">
        <v>5</v>
      </c>
      <c r="F344" s="23" t="n">
        <v>0</v>
      </c>
      <c r="G344" s="24">
        <f>TEXT(B344,"mmm")</f>
        <v/>
      </c>
      <c r="H344" s="24">
        <f>HLOOKUP(C344,Lookups!$H$4:$K$5,2,FALSE)</f>
        <v/>
      </c>
      <c r="I344" s="24">
        <f>VLOOKUP(D344,Lookups!$A$5:$E$10,2,FALSE)</f>
        <v/>
      </c>
      <c r="J344" s="24">
        <f>VLOOKUP(D344,Lookups!$A$5:$E$10,3,FALSE)</f>
        <v/>
      </c>
      <c r="K344" s="25">
        <f>VLOOKUP(D344,Lookups!$A$5:$E$10,4,FALSE)</f>
        <v/>
      </c>
      <c r="L344" s="25">
        <f>E344*K344*(1-F344)</f>
        <v/>
      </c>
      <c r="M344" s="25">
        <f>L344*VLOOKUP(D344,Lookups!$A$5:$E$10,5,FALSE)</f>
        <v/>
      </c>
    </row>
    <row r="345">
      <c r="A345" s="21" t="inlineStr">
        <is>
          <t>INV-10470</t>
        </is>
      </c>
      <c r="B345" s="22" t="n">
        <v>45770</v>
      </c>
      <c r="C345" s="21" t="inlineStr">
        <is>
          <t>R04</t>
        </is>
      </c>
      <c r="D345" s="21" t="inlineStr">
        <is>
          <t>P200</t>
        </is>
      </c>
      <c r="E345" s="21" t="n">
        <v>5</v>
      </c>
      <c r="F345" s="23" t="n">
        <v>0.1</v>
      </c>
      <c r="G345" s="24">
        <f>TEXT(B345,"mmm")</f>
        <v/>
      </c>
      <c r="H345" s="24">
        <f>HLOOKUP(C345,Lookups!$H$4:$K$5,2,FALSE)</f>
        <v/>
      </c>
      <c r="I345" s="24">
        <f>VLOOKUP(D345,Lookups!$A$5:$E$10,2,FALSE)</f>
        <v/>
      </c>
      <c r="J345" s="24">
        <f>VLOOKUP(D345,Lookups!$A$5:$E$10,3,FALSE)</f>
        <v/>
      </c>
      <c r="K345" s="25">
        <f>VLOOKUP(D345,Lookups!$A$5:$E$10,4,FALSE)</f>
        <v/>
      </c>
      <c r="L345" s="25">
        <f>E345*K345*(1-F345)</f>
        <v/>
      </c>
      <c r="M345" s="25">
        <f>L345*VLOOKUP(D345,Lookups!$A$5:$E$10,5,FALSE)</f>
        <v/>
      </c>
    </row>
    <row r="346">
      <c r="A346" s="21" t="inlineStr">
        <is>
          <t>INV-10610</t>
        </is>
      </c>
      <c r="B346" s="22" t="n">
        <v>45770</v>
      </c>
      <c r="C346" s="21" t="inlineStr">
        <is>
          <t>R01</t>
        </is>
      </c>
      <c r="D346" s="21" t="inlineStr">
        <is>
          <t>P300</t>
        </is>
      </c>
      <c r="E346" s="21" t="n">
        <v>9</v>
      </c>
      <c r="F346" s="23" t="n">
        <v>0</v>
      </c>
      <c r="G346" s="24">
        <f>TEXT(B346,"mmm")</f>
        <v/>
      </c>
      <c r="H346" s="24">
        <f>HLOOKUP(C346,Lookups!$H$4:$K$5,2,FALSE)</f>
        <v/>
      </c>
      <c r="I346" s="24">
        <f>VLOOKUP(D346,Lookups!$A$5:$E$10,2,FALSE)</f>
        <v/>
      </c>
      <c r="J346" s="24">
        <f>VLOOKUP(D346,Lookups!$A$5:$E$10,3,FALSE)</f>
        <v/>
      </c>
      <c r="K346" s="25">
        <f>VLOOKUP(D346,Lookups!$A$5:$E$10,4,FALSE)</f>
        <v/>
      </c>
      <c r="L346" s="25">
        <f>E346*K346*(1-F346)</f>
        <v/>
      </c>
      <c r="M346" s="25">
        <f>L346*VLOOKUP(D346,Lookups!$A$5:$E$10,5,FALSE)</f>
        <v/>
      </c>
    </row>
    <row r="347">
      <c r="A347" s="21" t="inlineStr">
        <is>
          <t>INV-10723</t>
        </is>
      </c>
      <c r="B347" s="22" t="n">
        <v>45770</v>
      </c>
      <c r="C347" s="21" t="inlineStr">
        <is>
          <t>R04</t>
        </is>
      </c>
      <c r="D347" s="21" t="inlineStr">
        <is>
          <t>P500</t>
        </is>
      </c>
      <c r="E347" s="21" t="n">
        <v>12</v>
      </c>
      <c r="F347" s="23" t="n">
        <v>0</v>
      </c>
      <c r="G347" s="24">
        <f>TEXT(B347,"mmm")</f>
        <v/>
      </c>
      <c r="H347" s="24">
        <f>HLOOKUP(C347,Lookups!$H$4:$K$5,2,FALSE)</f>
        <v/>
      </c>
      <c r="I347" s="24">
        <f>VLOOKUP(D347,Lookups!$A$5:$E$10,2,FALSE)</f>
        <v/>
      </c>
      <c r="J347" s="24">
        <f>VLOOKUP(D347,Lookups!$A$5:$E$10,3,FALSE)</f>
        <v/>
      </c>
      <c r="K347" s="25">
        <f>VLOOKUP(D347,Lookups!$A$5:$E$10,4,FALSE)</f>
        <v/>
      </c>
      <c r="L347" s="25">
        <f>E347*K347*(1-F347)</f>
        <v/>
      </c>
      <c r="M347" s="25">
        <f>L347*VLOOKUP(D347,Lookups!$A$5:$E$10,5,FALSE)</f>
        <v/>
      </c>
    </row>
    <row r="348">
      <c r="A348" s="21" t="inlineStr">
        <is>
          <t>INV-10581</t>
        </is>
      </c>
      <c r="B348" s="22" t="n">
        <v>45771</v>
      </c>
      <c r="C348" s="21" t="inlineStr">
        <is>
          <t>R02</t>
        </is>
      </c>
      <c r="D348" s="21" t="inlineStr">
        <is>
          <t>P500</t>
        </is>
      </c>
      <c r="E348" s="21" t="n">
        <v>15</v>
      </c>
      <c r="F348" s="23" t="n">
        <v>0.05</v>
      </c>
      <c r="G348" s="24">
        <f>TEXT(B348,"mmm")</f>
        <v/>
      </c>
      <c r="H348" s="24">
        <f>HLOOKUP(C348,Lookups!$H$4:$K$5,2,FALSE)</f>
        <v/>
      </c>
      <c r="I348" s="24">
        <f>VLOOKUP(D348,Lookups!$A$5:$E$10,2,FALSE)</f>
        <v/>
      </c>
      <c r="J348" s="24">
        <f>VLOOKUP(D348,Lookups!$A$5:$E$10,3,FALSE)</f>
        <v/>
      </c>
      <c r="K348" s="25">
        <f>VLOOKUP(D348,Lookups!$A$5:$E$10,4,FALSE)</f>
        <v/>
      </c>
      <c r="L348" s="25">
        <f>E348*K348*(1-F348)</f>
        <v/>
      </c>
      <c r="M348" s="25">
        <f>L348*VLOOKUP(D348,Lookups!$A$5:$E$10,5,FALSE)</f>
        <v/>
      </c>
    </row>
    <row r="349">
      <c r="A349" s="21" t="inlineStr">
        <is>
          <t>INV-10706</t>
        </is>
      </c>
      <c r="B349" s="22" t="n">
        <v>45771</v>
      </c>
      <c r="C349" s="21" t="inlineStr">
        <is>
          <t>R02</t>
        </is>
      </c>
      <c r="D349" s="21" t="inlineStr">
        <is>
          <t>P200</t>
        </is>
      </c>
      <c r="E349" s="21" t="n">
        <v>13</v>
      </c>
      <c r="F349" s="23" t="n">
        <v>0.05</v>
      </c>
      <c r="G349" s="24">
        <f>TEXT(B349,"mmm")</f>
        <v/>
      </c>
      <c r="H349" s="24">
        <f>HLOOKUP(C349,Lookups!$H$4:$K$5,2,FALSE)</f>
        <v/>
      </c>
      <c r="I349" s="24">
        <f>VLOOKUP(D349,Lookups!$A$5:$E$10,2,FALSE)</f>
        <v/>
      </c>
      <c r="J349" s="24">
        <f>VLOOKUP(D349,Lookups!$A$5:$E$10,3,FALSE)</f>
        <v/>
      </c>
      <c r="K349" s="25">
        <f>VLOOKUP(D349,Lookups!$A$5:$E$10,4,FALSE)</f>
        <v/>
      </c>
      <c r="L349" s="25">
        <f>E349*K349*(1-F349)</f>
        <v/>
      </c>
      <c r="M349" s="25">
        <f>L349*VLOOKUP(D349,Lookups!$A$5:$E$10,5,FALSE)</f>
        <v/>
      </c>
    </row>
    <row r="350">
      <c r="A350" s="21" t="inlineStr">
        <is>
          <t>INV-10798</t>
        </is>
      </c>
      <c r="B350" s="22" t="n">
        <v>45771</v>
      </c>
      <c r="C350" s="21" t="inlineStr">
        <is>
          <t>R02</t>
        </is>
      </c>
      <c r="D350" s="21" t="inlineStr">
        <is>
          <t>P600</t>
        </is>
      </c>
      <c r="E350" s="21" t="n">
        <v>22</v>
      </c>
      <c r="F350" s="23" t="n">
        <v>0</v>
      </c>
      <c r="G350" s="24">
        <f>TEXT(B350,"mmm")</f>
        <v/>
      </c>
      <c r="H350" s="24">
        <f>HLOOKUP(C350,Lookups!$H$4:$K$5,2,FALSE)</f>
        <v/>
      </c>
      <c r="I350" s="24">
        <f>VLOOKUP(D350,Lookups!$A$5:$E$10,2,FALSE)</f>
        <v/>
      </c>
      <c r="J350" s="24">
        <f>VLOOKUP(D350,Lookups!$A$5:$E$10,3,FALSE)</f>
        <v/>
      </c>
      <c r="K350" s="25">
        <f>VLOOKUP(D350,Lookups!$A$5:$E$10,4,FALSE)</f>
        <v/>
      </c>
      <c r="L350" s="25">
        <f>E350*K350*(1-F350)</f>
        <v/>
      </c>
      <c r="M350" s="25">
        <f>L350*VLOOKUP(D350,Lookups!$A$5:$E$10,5,FALSE)</f>
        <v/>
      </c>
    </row>
    <row r="351">
      <c r="A351" s="21" t="inlineStr">
        <is>
          <t>INV-10817</t>
        </is>
      </c>
      <c r="B351" s="22" t="n">
        <v>45771</v>
      </c>
      <c r="C351" s="21" t="inlineStr">
        <is>
          <t>R02</t>
        </is>
      </c>
      <c r="D351" s="21" t="inlineStr">
        <is>
          <t>P300</t>
        </is>
      </c>
      <c r="E351" s="21" t="n">
        <v>24</v>
      </c>
      <c r="F351" s="23" t="n">
        <v>0.05</v>
      </c>
      <c r="G351" s="24">
        <f>TEXT(B351,"mmm")</f>
        <v/>
      </c>
      <c r="H351" s="24">
        <f>HLOOKUP(C351,Lookups!$H$4:$K$5,2,FALSE)</f>
        <v/>
      </c>
      <c r="I351" s="24">
        <f>VLOOKUP(D351,Lookups!$A$5:$E$10,2,FALSE)</f>
        <v/>
      </c>
      <c r="J351" s="24">
        <f>VLOOKUP(D351,Lookups!$A$5:$E$10,3,FALSE)</f>
        <v/>
      </c>
      <c r="K351" s="25">
        <f>VLOOKUP(D351,Lookups!$A$5:$E$10,4,FALSE)</f>
        <v/>
      </c>
      <c r="L351" s="25">
        <f>E351*K351*(1-F351)</f>
        <v/>
      </c>
      <c r="M351" s="25">
        <f>L351*VLOOKUP(D351,Lookups!$A$5:$E$10,5,FALSE)</f>
        <v/>
      </c>
    </row>
    <row r="352">
      <c r="A352" s="21" t="inlineStr">
        <is>
          <t>INV-10918</t>
        </is>
      </c>
      <c r="B352" s="22" t="n">
        <v>45771</v>
      </c>
      <c r="C352" s="21" t="inlineStr">
        <is>
          <t>R03</t>
        </is>
      </c>
      <c r="D352" s="21" t="inlineStr">
        <is>
          <t>P200</t>
        </is>
      </c>
      <c r="E352" s="21" t="n">
        <v>11</v>
      </c>
      <c r="F352" s="23" t="n">
        <v>0.05</v>
      </c>
      <c r="G352" s="24">
        <f>TEXT(B352,"mmm")</f>
        <v/>
      </c>
      <c r="H352" s="24">
        <f>HLOOKUP(C352,Lookups!$H$4:$K$5,2,FALSE)</f>
        <v/>
      </c>
      <c r="I352" s="24">
        <f>VLOOKUP(D352,Lookups!$A$5:$E$10,2,FALSE)</f>
        <v/>
      </c>
      <c r="J352" s="24">
        <f>VLOOKUP(D352,Lookups!$A$5:$E$10,3,FALSE)</f>
        <v/>
      </c>
      <c r="K352" s="25">
        <f>VLOOKUP(D352,Lookups!$A$5:$E$10,4,FALSE)</f>
        <v/>
      </c>
      <c r="L352" s="25">
        <f>E352*K352*(1-F352)</f>
        <v/>
      </c>
      <c r="M352" s="25">
        <f>L352*VLOOKUP(D352,Lookups!$A$5:$E$10,5,FALSE)</f>
        <v/>
      </c>
    </row>
    <row r="353">
      <c r="A353" s="21" t="inlineStr">
        <is>
          <t>INV-10944</t>
        </is>
      </c>
      <c r="B353" s="22" t="n">
        <v>45771</v>
      </c>
      <c r="C353" s="21" t="inlineStr">
        <is>
          <t>R03</t>
        </is>
      </c>
      <c r="D353" s="21" t="inlineStr">
        <is>
          <t>P500</t>
        </is>
      </c>
      <c r="E353" s="21" t="n">
        <v>7</v>
      </c>
      <c r="F353" s="23" t="n">
        <v>0</v>
      </c>
      <c r="G353" s="24">
        <f>TEXT(B353,"mmm")</f>
        <v/>
      </c>
      <c r="H353" s="24">
        <f>HLOOKUP(C353,Lookups!$H$4:$K$5,2,FALSE)</f>
        <v/>
      </c>
      <c r="I353" s="24">
        <f>VLOOKUP(D353,Lookups!$A$5:$E$10,2,FALSE)</f>
        <v/>
      </c>
      <c r="J353" s="24">
        <f>VLOOKUP(D353,Lookups!$A$5:$E$10,3,FALSE)</f>
        <v/>
      </c>
      <c r="K353" s="25">
        <f>VLOOKUP(D353,Lookups!$A$5:$E$10,4,FALSE)</f>
        <v/>
      </c>
      <c r="L353" s="25">
        <f>E353*K353*(1-F353)</f>
        <v/>
      </c>
      <c r="M353" s="25">
        <f>L353*VLOOKUP(D353,Lookups!$A$5:$E$10,5,FALSE)</f>
        <v/>
      </c>
    </row>
    <row r="354">
      <c r="A354" s="21" t="inlineStr">
        <is>
          <t>INV-11127</t>
        </is>
      </c>
      <c r="B354" s="22" t="n">
        <v>45771</v>
      </c>
      <c r="C354" s="21" t="inlineStr">
        <is>
          <t>R01</t>
        </is>
      </c>
      <c r="D354" s="21" t="inlineStr">
        <is>
          <t>P500</t>
        </is>
      </c>
      <c r="E354" s="21" t="n">
        <v>1</v>
      </c>
      <c r="F354" s="23" t="n">
        <v>0</v>
      </c>
      <c r="G354" s="24">
        <f>TEXT(B354,"mmm")</f>
        <v/>
      </c>
      <c r="H354" s="24">
        <f>HLOOKUP(C354,Lookups!$H$4:$K$5,2,FALSE)</f>
        <v/>
      </c>
      <c r="I354" s="24">
        <f>VLOOKUP(D354,Lookups!$A$5:$E$10,2,FALSE)</f>
        <v/>
      </c>
      <c r="J354" s="24">
        <f>VLOOKUP(D354,Lookups!$A$5:$E$10,3,FALSE)</f>
        <v/>
      </c>
      <c r="K354" s="25">
        <f>VLOOKUP(D354,Lookups!$A$5:$E$10,4,FALSE)</f>
        <v/>
      </c>
      <c r="L354" s="25">
        <f>E354*K354*(1-F354)</f>
        <v/>
      </c>
      <c r="M354" s="25">
        <f>L354*VLOOKUP(D354,Lookups!$A$5:$E$10,5,FALSE)</f>
        <v/>
      </c>
    </row>
    <row r="355">
      <c r="A355" s="21" t="inlineStr">
        <is>
          <t>INV-11158</t>
        </is>
      </c>
      <c r="B355" s="22" t="n">
        <v>45771</v>
      </c>
      <c r="C355" s="21" t="inlineStr">
        <is>
          <t>R03</t>
        </is>
      </c>
      <c r="D355" s="21" t="inlineStr">
        <is>
          <t>P400</t>
        </is>
      </c>
      <c r="E355" s="21" t="n">
        <v>13</v>
      </c>
      <c r="F355" s="23" t="n">
        <v>0</v>
      </c>
      <c r="G355" s="24">
        <f>TEXT(B355,"mmm")</f>
        <v/>
      </c>
      <c r="H355" s="24">
        <f>HLOOKUP(C355,Lookups!$H$4:$K$5,2,FALSE)</f>
        <v/>
      </c>
      <c r="I355" s="24">
        <f>VLOOKUP(D355,Lookups!$A$5:$E$10,2,FALSE)</f>
        <v/>
      </c>
      <c r="J355" s="24">
        <f>VLOOKUP(D355,Lookups!$A$5:$E$10,3,FALSE)</f>
        <v/>
      </c>
      <c r="K355" s="25">
        <f>VLOOKUP(D355,Lookups!$A$5:$E$10,4,FALSE)</f>
        <v/>
      </c>
      <c r="L355" s="25">
        <f>E355*K355*(1-F355)</f>
        <v/>
      </c>
      <c r="M355" s="25">
        <f>L355*VLOOKUP(D355,Lookups!$A$5:$E$10,5,FALSE)</f>
        <v/>
      </c>
    </row>
    <row r="356">
      <c r="A356" s="21" t="inlineStr">
        <is>
          <t>INV-10278</t>
        </is>
      </c>
      <c r="B356" s="22" t="n">
        <v>45772</v>
      </c>
      <c r="C356" s="21" t="inlineStr">
        <is>
          <t>R03</t>
        </is>
      </c>
      <c r="D356" s="21" t="inlineStr">
        <is>
          <t>P100</t>
        </is>
      </c>
      <c r="E356" s="21" t="n">
        <v>18</v>
      </c>
      <c r="F356" s="23" t="n">
        <v>0.05</v>
      </c>
      <c r="G356" s="24">
        <f>TEXT(B356,"mmm")</f>
        <v/>
      </c>
      <c r="H356" s="24">
        <f>HLOOKUP(C356,Lookups!$H$4:$K$5,2,FALSE)</f>
        <v/>
      </c>
      <c r="I356" s="24">
        <f>VLOOKUP(D356,Lookups!$A$5:$E$10,2,FALSE)</f>
        <v/>
      </c>
      <c r="J356" s="24">
        <f>VLOOKUP(D356,Lookups!$A$5:$E$10,3,FALSE)</f>
        <v/>
      </c>
      <c r="K356" s="25">
        <f>VLOOKUP(D356,Lookups!$A$5:$E$10,4,FALSE)</f>
        <v/>
      </c>
      <c r="L356" s="25">
        <f>E356*K356*(1-F356)</f>
        <v/>
      </c>
      <c r="M356" s="25">
        <f>L356*VLOOKUP(D356,Lookups!$A$5:$E$10,5,FALSE)</f>
        <v/>
      </c>
    </row>
    <row r="357">
      <c r="A357" s="21" t="inlineStr">
        <is>
          <t>INV-10736</t>
        </is>
      </c>
      <c r="B357" s="22" t="n">
        <v>45772</v>
      </c>
      <c r="C357" s="21" t="inlineStr">
        <is>
          <t>R02</t>
        </is>
      </c>
      <c r="D357" s="21" t="inlineStr">
        <is>
          <t>P600</t>
        </is>
      </c>
      <c r="E357" s="21" t="n">
        <v>13</v>
      </c>
      <c r="F357" s="23" t="n">
        <v>0.05</v>
      </c>
      <c r="G357" s="24">
        <f>TEXT(B357,"mmm")</f>
        <v/>
      </c>
      <c r="H357" s="24">
        <f>HLOOKUP(C357,Lookups!$H$4:$K$5,2,FALSE)</f>
        <v/>
      </c>
      <c r="I357" s="24">
        <f>VLOOKUP(D357,Lookups!$A$5:$E$10,2,FALSE)</f>
        <v/>
      </c>
      <c r="J357" s="24">
        <f>VLOOKUP(D357,Lookups!$A$5:$E$10,3,FALSE)</f>
        <v/>
      </c>
      <c r="K357" s="25">
        <f>VLOOKUP(D357,Lookups!$A$5:$E$10,4,FALSE)</f>
        <v/>
      </c>
      <c r="L357" s="25">
        <f>E357*K357*(1-F357)</f>
        <v/>
      </c>
      <c r="M357" s="25">
        <f>L357*VLOOKUP(D357,Lookups!$A$5:$E$10,5,FALSE)</f>
        <v/>
      </c>
    </row>
    <row r="358">
      <c r="A358" s="21" t="inlineStr">
        <is>
          <t>INV-10441</t>
        </is>
      </c>
      <c r="B358" s="22" t="n">
        <v>45773</v>
      </c>
      <c r="C358" s="21" t="inlineStr">
        <is>
          <t>R03</t>
        </is>
      </c>
      <c r="D358" s="21" t="inlineStr">
        <is>
          <t>P300</t>
        </is>
      </c>
      <c r="E358" s="21" t="n">
        <v>23</v>
      </c>
      <c r="F358" s="23" t="n">
        <v>0</v>
      </c>
      <c r="G358" s="24">
        <f>TEXT(B358,"mmm")</f>
        <v/>
      </c>
      <c r="H358" s="24">
        <f>HLOOKUP(C358,Lookups!$H$4:$K$5,2,FALSE)</f>
        <v/>
      </c>
      <c r="I358" s="24">
        <f>VLOOKUP(D358,Lookups!$A$5:$E$10,2,FALSE)</f>
        <v/>
      </c>
      <c r="J358" s="24">
        <f>VLOOKUP(D358,Lookups!$A$5:$E$10,3,FALSE)</f>
        <v/>
      </c>
      <c r="K358" s="25">
        <f>VLOOKUP(D358,Lookups!$A$5:$E$10,4,FALSE)</f>
        <v/>
      </c>
      <c r="L358" s="25">
        <f>E358*K358*(1-F358)</f>
        <v/>
      </c>
      <c r="M358" s="25">
        <f>L358*VLOOKUP(D358,Lookups!$A$5:$E$10,5,FALSE)</f>
        <v/>
      </c>
    </row>
    <row r="359">
      <c r="A359" s="21" t="inlineStr">
        <is>
          <t>INV-10908</t>
        </is>
      </c>
      <c r="B359" s="22" t="n">
        <v>45773</v>
      </c>
      <c r="C359" s="21" t="inlineStr">
        <is>
          <t>R03</t>
        </is>
      </c>
      <c r="D359" s="21" t="inlineStr">
        <is>
          <t>P600</t>
        </is>
      </c>
      <c r="E359" s="21" t="n">
        <v>25</v>
      </c>
      <c r="F359" s="23" t="n">
        <v>0</v>
      </c>
      <c r="G359" s="24">
        <f>TEXT(B359,"mmm")</f>
        <v/>
      </c>
      <c r="H359" s="24">
        <f>HLOOKUP(C359,Lookups!$H$4:$K$5,2,FALSE)</f>
        <v/>
      </c>
      <c r="I359" s="24">
        <f>VLOOKUP(D359,Lookups!$A$5:$E$10,2,FALSE)</f>
        <v/>
      </c>
      <c r="J359" s="24">
        <f>VLOOKUP(D359,Lookups!$A$5:$E$10,3,FALSE)</f>
        <v/>
      </c>
      <c r="K359" s="25">
        <f>VLOOKUP(D359,Lookups!$A$5:$E$10,4,FALSE)</f>
        <v/>
      </c>
      <c r="L359" s="25">
        <f>E359*K359*(1-F359)</f>
        <v/>
      </c>
      <c r="M359" s="25">
        <f>L359*VLOOKUP(D359,Lookups!$A$5:$E$10,5,FALSE)</f>
        <v/>
      </c>
    </row>
    <row r="360">
      <c r="A360" s="21" t="inlineStr">
        <is>
          <t>INV-11019</t>
        </is>
      </c>
      <c r="B360" s="22" t="n">
        <v>45773</v>
      </c>
      <c r="C360" s="21" t="inlineStr">
        <is>
          <t>R02</t>
        </is>
      </c>
      <c r="D360" s="21" t="inlineStr">
        <is>
          <t>P500</t>
        </is>
      </c>
      <c r="E360" s="21" t="n">
        <v>15</v>
      </c>
      <c r="F360" s="23" t="n">
        <v>0.1</v>
      </c>
      <c r="G360" s="24">
        <f>TEXT(B360,"mmm")</f>
        <v/>
      </c>
      <c r="H360" s="24">
        <f>HLOOKUP(C360,Lookups!$H$4:$K$5,2,FALSE)</f>
        <v/>
      </c>
      <c r="I360" s="24">
        <f>VLOOKUP(D360,Lookups!$A$5:$E$10,2,FALSE)</f>
        <v/>
      </c>
      <c r="J360" s="24">
        <f>VLOOKUP(D360,Lookups!$A$5:$E$10,3,FALSE)</f>
        <v/>
      </c>
      <c r="K360" s="25">
        <f>VLOOKUP(D360,Lookups!$A$5:$E$10,4,FALSE)</f>
        <v/>
      </c>
      <c r="L360" s="25">
        <f>E360*K360*(1-F360)</f>
        <v/>
      </c>
      <c r="M360" s="25">
        <f>L360*VLOOKUP(D360,Lookups!$A$5:$E$10,5,FALSE)</f>
        <v/>
      </c>
    </row>
    <row r="361">
      <c r="A361" s="21" t="inlineStr">
        <is>
          <t>INV-10213</t>
        </is>
      </c>
      <c r="B361" s="22" t="n">
        <v>45774</v>
      </c>
      <c r="C361" s="21" t="inlineStr">
        <is>
          <t>R01</t>
        </is>
      </c>
      <c r="D361" s="21" t="inlineStr">
        <is>
          <t>P600</t>
        </is>
      </c>
      <c r="E361" s="21" t="n">
        <v>14</v>
      </c>
      <c r="F361" s="23" t="n">
        <v>0</v>
      </c>
      <c r="G361" s="24">
        <f>TEXT(B361,"mmm")</f>
        <v/>
      </c>
      <c r="H361" s="24">
        <f>HLOOKUP(C361,Lookups!$H$4:$K$5,2,FALSE)</f>
        <v/>
      </c>
      <c r="I361" s="24">
        <f>VLOOKUP(D361,Lookups!$A$5:$E$10,2,FALSE)</f>
        <v/>
      </c>
      <c r="J361" s="24">
        <f>VLOOKUP(D361,Lookups!$A$5:$E$10,3,FALSE)</f>
        <v/>
      </c>
      <c r="K361" s="25">
        <f>VLOOKUP(D361,Lookups!$A$5:$E$10,4,FALSE)</f>
        <v/>
      </c>
      <c r="L361" s="25">
        <f>E361*K361*(1-F361)</f>
        <v/>
      </c>
      <c r="M361" s="25">
        <f>L361*VLOOKUP(D361,Lookups!$A$5:$E$10,5,FALSE)</f>
        <v/>
      </c>
    </row>
    <row r="362">
      <c r="A362" s="21" t="inlineStr">
        <is>
          <t>INV-10269</t>
        </is>
      </c>
      <c r="B362" s="22" t="n">
        <v>45774</v>
      </c>
      <c r="C362" s="21" t="inlineStr">
        <is>
          <t>R03</t>
        </is>
      </c>
      <c r="D362" s="21" t="inlineStr">
        <is>
          <t>P400</t>
        </is>
      </c>
      <c r="E362" s="21" t="n">
        <v>15</v>
      </c>
      <c r="F362" s="23" t="n">
        <v>0.1</v>
      </c>
      <c r="G362" s="24">
        <f>TEXT(B362,"mmm")</f>
        <v/>
      </c>
      <c r="H362" s="24">
        <f>HLOOKUP(C362,Lookups!$H$4:$K$5,2,FALSE)</f>
        <v/>
      </c>
      <c r="I362" s="24">
        <f>VLOOKUP(D362,Lookups!$A$5:$E$10,2,FALSE)</f>
        <v/>
      </c>
      <c r="J362" s="24">
        <f>VLOOKUP(D362,Lookups!$A$5:$E$10,3,FALSE)</f>
        <v/>
      </c>
      <c r="K362" s="25">
        <f>VLOOKUP(D362,Lookups!$A$5:$E$10,4,FALSE)</f>
        <v/>
      </c>
      <c r="L362" s="25">
        <f>E362*K362*(1-F362)</f>
        <v/>
      </c>
      <c r="M362" s="25">
        <f>L362*VLOOKUP(D362,Lookups!$A$5:$E$10,5,FALSE)</f>
        <v/>
      </c>
    </row>
    <row r="363">
      <c r="A363" s="21" t="inlineStr">
        <is>
          <t>INV-10547</t>
        </is>
      </c>
      <c r="B363" s="22" t="n">
        <v>45774</v>
      </c>
      <c r="C363" s="21" t="inlineStr">
        <is>
          <t>R04</t>
        </is>
      </c>
      <c r="D363" s="21" t="inlineStr">
        <is>
          <t>P300</t>
        </is>
      </c>
      <c r="E363" s="21" t="n">
        <v>14</v>
      </c>
      <c r="F363" s="23" t="n">
        <v>0</v>
      </c>
      <c r="G363" s="24">
        <f>TEXT(B363,"mmm")</f>
        <v/>
      </c>
      <c r="H363" s="24">
        <f>HLOOKUP(C363,Lookups!$H$4:$K$5,2,FALSE)</f>
        <v/>
      </c>
      <c r="I363" s="24">
        <f>VLOOKUP(D363,Lookups!$A$5:$E$10,2,FALSE)</f>
        <v/>
      </c>
      <c r="J363" s="24">
        <f>VLOOKUP(D363,Lookups!$A$5:$E$10,3,FALSE)</f>
        <v/>
      </c>
      <c r="K363" s="25">
        <f>VLOOKUP(D363,Lookups!$A$5:$E$10,4,FALSE)</f>
        <v/>
      </c>
      <c r="L363" s="25">
        <f>E363*K363*(1-F363)</f>
        <v/>
      </c>
      <c r="M363" s="25">
        <f>L363*VLOOKUP(D363,Lookups!$A$5:$E$10,5,FALSE)</f>
        <v/>
      </c>
    </row>
    <row r="364">
      <c r="A364" s="21" t="inlineStr">
        <is>
          <t>INV-10490</t>
        </is>
      </c>
      <c r="B364" s="22" t="n">
        <v>45775</v>
      </c>
      <c r="C364" s="21" t="inlineStr">
        <is>
          <t>R04</t>
        </is>
      </c>
      <c r="D364" s="21" t="inlineStr">
        <is>
          <t>P200</t>
        </is>
      </c>
      <c r="E364" s="21" t="n">
        <v>12</v>
      </c>
      <c r="F364" s="23" t="n">
        <v>0</v>
      </c>
      <c r="G364" s="24">
        <f>TEXT(B364,"mmm")</f>
        <v/>
      </c>
      <c r="H364" s="24">
        <f>HLOOKUP(C364,Lookups!$H$4:$K$5,2,FALSE)</f>
        <v/>
      </c>
      <c r="I364" s="24">
        <f>VLOOKUP(D364,Lookups!$A$5:$E$10,2,FALSE)</f>
        <v/>
      </c>
      <c r="J364" s="24">
        <f>VLOOKUP(D364,Lookups!$A$5:$E$10,3,FALSE)</f>
        <v/>
      </c>
      <c r="K364" s="25">
        <f>VLOOKUP(D364,Lookups!$A$5:$E$10,4,FALSE)</f>
        <v/>
      </c>
      <c r="L364" s="25">
        <f>E364*K364*(1-F364)</f>
        <v/>
      </c>
      <c r="M364" s="25">
        <f>L364*VLOOKUP(D364,Lookups!$A$5:$E$10,5,FALSE)</f>
        <v/>
      </c>
    </row>
    <row r="365">
      <c r="A365" s="21" t="inlineStr">
        <is>
          <t>INV-10538</t>
        </is>
      </c>
      <c r="B365" s="22" t="n">
        <v>45775</v>
      </c>
      <c r="C365" s="21" t="inlineStr">
        <is>
          <t>R04</t>
        </is>
      </c>
      <c r="D365" s="21" t="inlineStr">
        <is>
          <t>P200</t>
        </is>
      </c>
      <c r="E365" s="21" t="n">
        <v>9</v>
      </c>
      <c r="F365" s="23" t="n">
        <v>0</v>
      </c>
      <c r="G365" s="24">
        <f>TEXT(B365,"mmm")</f>
        <v/>
      </c>
      <c r="H365" s="24">
        <f>HLOOKUP(C365,Lookups!$H$4:$K$5,2,FALSE)</f>
        <v/>
      </c>
      <c r="I365" s="24">
        <f>VLOOKUP(D365,Lookups!$A$5:$E$10,2,FALSE)</f>
        <v/>
      </c>
      <c r="J365" s="24">
        <f>VLOOKUP(D365,Lookups!$A$5:$E$10,3,FALSE)</f>
        <v/>
      </c>
      <c r="K365" s="25">
        <f>VLOOKUP(D365,Lookups!$A$5:$E$10,4,FALSE)</f>
        <v/>
      </c>
      <c r="L365" s="25">
        <f>E365*K365*(1-F365)</f>
        <v/>
      </c>
      <c r="M365" s="25">
        <f>L365*VLOOKUP(D365,Lookups!$A$5:$E$10,5,FALSE)</f>
        <v/>
      </c>
    </row>
    <row r="366">
      <c r="A366" s="21" t="inlineStr">
        <is>
          <t>INV-11033</t>
        </is>
      </c>
      <c r="B366" s="22" t="n">
        <v>45775</v>
      </c>
      <c r="C366" s="21" t="inlineStr">
        <is>
          <t>R02</t>
        </is>
      </c>
      <c r="D366" s="21" t="inlineStr">
        <is>
          <t>P200</t>
        </is>
      </c>
      <c r="E366" s="21" t="n">
        <v>20</v>
      </c>
      <c r="F366" s="23" t="n">
        <v>0.05</v>
      </c>
      <c r="G366" s="24">
        <f>TEXT(B366,"mmm")</f>
        <v/>
      </c>
      <c r="H366" s="24">
        <f>HLOOKUP(C366,Lookups!$H$4:$K$5,2,FALSE)</f>
        <v/>
      </c>
      <c r="I366" s="24">
        <f>VLOOKUP(D366,Lookups!$A$5:$E$10,2,FALSE)</f>
        <v/>
      </c>
      <c r="J366" s="24">
        <f>VLOOKUP(D366,Lookups!$A$5:$E$10,3,FALSE)</f>
        <v/>
      </c>
      <c r="K366" s="25">
        <f>VLOOKUP(D366,Lookups!$A$5:$E$10,4,FALSE)</f>
        <v/>
      </c>
      <c r="L366" s="25">
        <f>E366*K366*(1-F366)</f>
        <v/>
      </c>
      <c r="M366" s="25">
        <f>L366*VLOOKUP(D366,Lookups!$A$5:$E$10,5,FALSE)</f>
        <v/>
      </c>
    </row>
    <row r="367">
      <c r="A367" s="21" t="inlineStr">
        <is>
          <t>INV-10220</t>
        </is>
      </c>
      <c r="B367" s="22" t="n">
        <v>45776</v>
      </c>
      <c r="C367" s="21" t="inlineStr">
        <is>
          <t>R03</t>
        </is>
      </c>
      <c r="D367" s="21" t="inlineStr">
        <is>
          <t>P400</t>
        </is>
      </c>
      <c r="E367" s="21" t="n">
        <v>15</v>
      </c>
      <c r="F367" s="23" t="n">
        <v>0.05</v>
      </c>
      <c r="G367" s="24">
        <f>TEXT(B367,"mmm")</f>
        <v/>
      </c>
      <c r="H367" s="24">
        <f>HLOOKUP(C367,Lookups!$H$4:$K$5,2,FALSE)</f>
        <v/>
      </c>
      <c r="I367" s="24">
        <f>VLOOKUP(D367,Lookups!$A$5:$E$10,2,FALSE)</f>
        <v/>
      </c>
      <c r="J367" s="24">
        <f>VLOOKUP(D367,Lookups!$A$5:$E$10,3,FALSE)</f>
        <v/>
      </c>
      <c r="K367" s="25">
        <f>VLOOKUP(D367,Lookups!$A$5:$E$10,4,FALSE)</f>
        <v/>
      </c>
      <c r="L367" s="25">
        <f>E367*K367*(1-F367)</f>
        <v/>
      </c>
      <c r="M367" s="25">
        <f>L367*VLOOKUP(D367,Lookups!$A$5:$E$10,5,FALSE)</f>
        <v/>
      </c>
    </row>
    <row r="368">
      <c r="A368" s="21" t="inlineStr">
        <is>
          <t>INV-10690</t>
        </is>
      </c>
      <c r="B368" s="22" t="n">
        <v>45776</v>
      </c>
      <c r="C368" s="21" t="inlineStr">
        <is>
          <t>R04</t>
        </is>
      </c>
      <c r="D368" s="21" t="inlineStr">
        <is>
          <t>P500</t>
        </is>
      </c>
      <c r="E368" s="21" t="n">
        <v>23</v>
      </c>
      <c r="F368" s="23" t="n">
        <v>0.05</v>
      </c>
      <c r="G368" s="24">
        <f>TEXT(B368,"mmm")</f>
        <v/>
      </c>
      <c r="H368" s="24">
        <f>HLOOKUP(C368,Lookups!$H$4:$K$5,2,FALSE)</f>
        <v/>
      </c>
      <c r="I368" s="24">
        <f>VLOOKUP(D368,Lookups!$A$5:$E$10,2,FALSE)</f>
        <v/>
      </c>
      <c r="J368" s="24">
        <f>VLOOKUP(D368,Lookups!$A$5:$E$10,3,FALSE)</f>
        <v/>
      </c>
      <c r="K368" s="25">
        <f>VLOOKUP(D368,Lookups!$A$5:$E$10,4,FALSE)</f>
        <v/>
      </c>
      <c r="L368" s="25">
        <f>E368*K368*(1-F368)</f>
        <v/>
      </c>
      <c r="M368" s="25">
        <f>L368*VLOOKUP(D368,Lookups!$A$5:$E$10,5,FALSE)</f>
        <v/>
      </c>
    </row>
    <row r="369">
      <c r="A369" s="21" t="inlineStr">
        <is>
          <t>INV-10967</t>
        </is>
      </c>
      <c r="B369" s="22" t="n">
        <v>45776</v>
      </c>
      <c r="C369" s="21" t="inlineStr">
        <is>
          <t>R03</t>
        </is>
      </c>
      <c r="D369" s="21" t="inlineStr">
        <is>
          <t>P100</t>
        </is>
      </c>
      <c r="E369" s="21" t="n">
        <v>12</v>
      </c>
      <c r="F369" s="23" t="n">
        <v>0</v>
      </c>
      <c r="G369" s="24">
        <f>TEXT(B369,"mmm")</f>
        <v/>
      </c>
      <c r="H369" s="24">
        <f>HLOOKUP(C369,Lookups!$H$4:$K$5,2,FALSE)</f>
        <v/>
      </c>
      <c r="I369" s="24">
        <f>VLOOKUP(D369,Lookups!$A$5:$E$10,2,FALSE)</f>
        <v/>
      </c>
      <c r="J369" s="24">
        <f>VLOOKUP(D369,Lookups!$A$5:$E$10,3,FALSE)</f>
        <v/>
      </c>
      <c r="K369" s="25">
        <f>VLOOKUP(D369,Lookups!$A$5:$E$10,4,FALSE)</f>
        <v/>
      </c>
      <c r="L369" s="25">
        <f>E369*K369*(1-F369)</f>
        <v/>
      </c>
      <c r="M369" s="25">
        <f>L369*VLOOKUP(D369,Lookups!$A$5:$E$10,5,FALSE)</f>
        <v/>
      </c>
    </row>
    <row r="370">
      <c r="A370" s="21" t="inlineStr">
        <is>
          <t>INV-10334</t>
        </is>
      </c>
      <c r="B370" s="22" t="n">
        <v>45777</v>
      </c>
      <c r="C370" s="21" t="inlineStr">
        <is>
          <t>R02</t>
        </is>
      </c>
      <c r="D370" s="21" t="inlineStr">
        <is>
          <t>P500</t>
        </is>
      </c>
      <c r="E370" s="21" t="n">
        <v>10</v>
      </c>
      <c r="F370" s="23" t="n">
        <v>0.1</v>
      </c>
      <c r="G370" s="24">
        <f>TEXT(B370,"mmm")</f>
        <v/>
      </c>
      <c r="H370" s="24">
        <f>HLOOKUP(C370,Lookups!$H$4:$K$5,2,FALSE)</f>
        <v/>
      </c>
      <c r="I370" s="24">
        <f>VLOOKUP(D370,Lookups!$A$5:$E$10,2,FALSE)</f>
        <v/>
      </c>
      <c r="J370" s="24">
        <f>VLOOKUP(D370,Lookups!$A$5:$E$10,3,FALSE)</f>
        <v/>
      </c>
      <c r="K370" s="25">
        <f>VLOOKUP(D370,Lookups!$A$5:$E$10,4,FALSE)</f>
        <v/>
      </c>
      <c r="L370" s="25">
        <f>E370*K370*(1-F370)</f>
        <v/>
      </c>
      <c r="M370" s="25">
        <f>L370*VLOOKUP(D370,Lookups!$A$5:$E$10,5,FALSE)</f>
        <v/>
      </c>
    </row>
    <row r="371">
      <c r="A371" s="21" t="inlineStr">
        <is>
          <t>INV-10495</t>
        </is>
      </c>
      <c r="B371" s="22" t="n">
        <v>45777</v>
      </c>
      <c r="C371" s="21" t="inlineStr">
        <is>
          <t>R02</t>
        </is>
      </c>
      <c r="D371" s="21" t="inlineStr">
        <is>
          <t>P500</t>
        </is>
      </c>
      <c r="E371" s="21" t="n">
        <v>25</v>
      </c>
      <c r="F371" s="23" t="n">
        <v>0</v>
      </c>
      <c r="G371" s="24">
        <f>TEXT(B371,"mmm")</f>
        <v/>
      </c>
      <c r="H371" s="24">
        <f>HLOOKUP(C371,Lookups!$H$4:$K$5,2,FALSE)</f>
        <v/>
      </c>
      <c r="I371" s="24">
        <f>VLOOKUP(D371,Lookups!$A$5:$E$10,2,FALSE)</f>
        <v/>
      </c>
      <c r="J371" s="24">
        <f>VLOOKUP(D371,Lookups!$A$5:$E$10,3,FALSE)</f>
        <v/>
      </c>
      <c r="K371" s="25">
        <f>VLOOKUP(D371,Lookups!$A$5:$E$10,4,FALSE)</f>
        <v/>
      </c>
      <c r="L371" s="25">
        <f>E371*K371*(1-F371)</f>
        <v/>
      </c>
      <c r="M371" s="25">
        <f>L371*VLOOKUP(D371,Lookups!$A$5:$E$10,5,FALSE)</f>
        <v/>
      </c>
    </row>
    <row r="372">
      <c r="A372" s="21" t="inlineStr">
        <is>
          <t>INV-10728</t>
        </is>
      </c>
      <c r="B372" s="22" t="n">
        <v>45777</v>
      </c>
      <c r="C372" s="21" t="inlineStr">
        <is>
          <t>R02</t>
        </is>
      </c>
      <c r="D372" s="21" t="inlineStr">
        <is>
          <t>P500</t>
        </is>
      </c>
      <c r="E372" s="21" t="n">
        <v>1</v>
      </c>
      <c r="F372" s="23" t="n">
        <v>0.1</v>
      </c>
      <c r="G372" s="24">
        <f>TEXT(B372,"mmm")</f>
        <v/>
      </c>
      <c r="H372" s="24">
        <f>HLOOKUP(C372,Lookups!$H$4:$K$5,2,FALSE)</f>
        <v/>
      </c>
      <c r="I372" s="24">
        <f>VLOOKUP(D372,Lookups!$A$5:$E$10,2,FALSE)</f>
        <v/>
      </c>
      <c r="J372" s="24">
        <f>VLOOKUP(D372,Lookups!$A$5:$E$10,3,FALSE)</f>
        <v/>
      </c>
      <c r="K372" s="25">
        <f>VLOOKUP(D372,Lookups!$A$5:$E$10,4,FALSE)</f>
        <v/>
      </c>
      <c r="L372" s="25">
        <f>E372*K372*(1-F372)</f>
        <v/>
      </c>
      <c r="M372" s="25">
        <f>L372*VLOOKUP(D372,Lookups!$A$5:$E$10,5,FALSE)</f>
        <v/>
      </c>
    </row>
    <row r="373">
      <c r="A373" s="21" t="inlineStr">
        <is>
          <t>INV-11111</t>
        </is>
      </c>
      <c r="B373" s="22" t="n">
        <v>45777</v>
      </c>
      <c r="C373" s="21" t="inlineStr">
        <is>
          <t>R03</t>
        </is>
      </c>
      <c r="D373" s="21" t="inlineStr">
        <is>
          <t>P300</t>
        </is>
      </c>
      <c r="E373" s="21" t="n">
        <v>15</v>
      </c>
      <c r="F373" s="23" t="n">
        <v>0</v>
      </c>
      <c r="G373" s="24">
        <f>TEXT(B373,"mmm")</f>
        <v/>
      </c>
      <c r="H373" s="24">
        <f>HLOOKUP(C373,Lookups!$H$4:$K$5,2,FALSE)</f>
        <v/>
      </c>
      <c r="I373" s="24">
        <f>VLOOKUP(D373,Lookups!$A$5:$E$10,2,FALSE)</f>
        <v/>
      </c>
      <c r="J373" s="24">
        <f>VLOOKUP(D373,Lookups!$A$5:$E$10,3,FALSE)</f>
        <v/>
      </c>
      <c r="K373" s="25">
        <f>VLOOKUP(D373,Lookups!$A$5:$E$10,4,FALSE)</f>
        <v/>
      </c>
      <c r="L373" s="25">
        <f>E373*K373*(1-F373)</f>
        <v/>
      </c>
      <c r="M373" s="25">
        <f>L373*VLOOKUP(D373,Lookups!$A$5:$E$10,5,FALSE)</f>
        <v/>
      </c>
    </row>
    <row r="374">
      <c r="A374" s="21" t="inlineStr">
        <is>
          <t>INV-11148</t>
        </is>
      </c>
      <c r="B374" s="22" t="n">
        <v>45777</v>
      </c>
      <c r="C374" s="21" t="inlineStr">
        <is>
          <t>R03</t>
        </is>
      </c>
      <c r="D374" s="21" t="inlineStr">
        <is>
          <t>P300</t>
        </is>
      </c>
      <c r="E374" s="21" t="n">
        <v>3</v>
      </c>
      <c r="F374" s="23" t="n">
        <v>0.1</v>
      </c>
      <c r="G374" s="24">
        <f>TEXT(B374,"mmm")</f>
        <v/>
      </c>
      <c r="H374" s="24">
        <f>HLOOKUP(C374,Lookups!$H$4:$K$5,2,FALSE)</f>
        <v/>
      </c>
      <c r="I374" s="24">
        <f>VLOOKUP(D374,Lookups!$A$5:$E$10,2,FALSE)</f>
        <v/>
      </c>
      <c r="J374" s="24">
        <f>VLOOKUP(D374,Lookups!$A$5:$E$10,3,FALSE)</f>
        <v/>
      </c>
      <c r="K374" s="25">
        <f>VLOOKUP(D374,Lookups!$A$5:$E$10,4,FALSE)</f>
        <v/>
      </c>
      <c r="L374" s="25">
        <f>E374*K374*(1-F374)</f>
        <v/>
      </c>
      <c r="M374" s="25">
        <f>L374*VLOOKUP(D374,Lookups!$A$5:$E$10,5,FALSE)</f>
        <v/>
      </c>
    </row>
    <row r="375">
      <c r="A375" s="21" t="inlineStr">
        <is>
          <t>INV-10245</t>
        </is>
      </c>
      <c r="B375" s="22" t="n">
        <v>45778</v>
      </c>
      <c r="C375" s="21" t="inlineStr">
        <is>
          <t>R02</t>
        </is>
      </c>
      <c r="D375" s="21" t="inlineStr">
        <is>
          <t>P500</t>
        </is>
      </c>
      <c r="E375" s="21" t="n">
        <v>13</v>
      </c>
      <c r="F375" s="23" t="n">
        <v>0.1</v>
      </c>
      <c r="G375" s="24">
        <f>TEXT(B375,"mmm")</f>
        <v/>
      </c>
      <c r="H375" s="24">
        <f>HLOOKUP(C375,Lookups!$H$4:$K$5,2,FALSE)</f>
        <v/>
      </c>
      <c r="I375" s="24">
        <f>VLOOKUP(D375,Lookups!$A$5:$E$10,2,FALSE)</f>
        <v/>
      </c>
      <c r="J375" s="24">
        <f>VLOOKUP(D375,Lookups!$A$5:$E$10,3,FALSE)</f>
        <v/>
      </c>
      <c r="K375" s="25">
        <f>VLOOKUP(D375,Lookups!$A$5:$E$10,4,FALSE)</f>
        <v/>
      </c>
      <c r="L375" s="25">
        <f>E375*K375*(1-F375)</f>
        <v/>
      </c>
      <c r="M375" s="25">
        <f>L375*VLOOKUP(D375,Lookups!$A$5:$E$10,5,FALSE)</f>
        <v/>
      </c>
    </row>
    <row r="376">
      <c r="A376" s="21" t="inlineStr">
        <is>
          <t>INV-11032</t>
        </is>
      </c>
      <c r="B376" s="22" t="n">
        <v>45778</v>
      </c>
      <c r="C376" s="21" t="inlineStr">
        <is>
          <t>R02</t>
        </is>
      </c>
      <c r="D376" s="21" t="inlineStr">
        <is>
          <t>P600</t>
        </is>
      </c>
      <c r="E376" s="21" t="n">
        <v>9</v>
      </c>
      <c r="F376" s="23" t="n">
        <v>0</v>
      </c>
      <c r="G376" s="24">
        <f>TEXT(B376,"mmm")</f>
        <v/>
      </c>
      <c r="H376" s="24">
        <f>HLOOKUP(C376,Lookups!$H$4:$K$5,2,FALSE)</f>
        <v/>
      </c>
      <c r="I376" s="24">
        <f>VLOOKUP(D376,Lookups!$A$5:$E$10,2,FALSE)</f>
        <v/>
      </c>
      <c r="J376" s="24">
        <f>VLOOKUP(D376,Lookups!$A$5:$E$10,3,FALSE)</f>
        <v/>
      </c>
      <c r="K376" s="25">
        <f>VLOOKUP(D376,Lookups!$A$5:$E$10,4,FALSE)</f>
        <v/>
      </c>
      <c r="L376" s="25">
        <f>E376*K376*(1-F376)</f>
        <v/>
      </c>
      <c r="M376" s="25">
        <f>L376*VLOOKUP(D376,Lookups!$A$5:$E$10,5,FALSE)</f>
        <v/>
      </c>
    </row>
    <row r="377">
      <c r="A377" s="21" t="inlineStr">
        <is>
          <t>INV-11049</t>
        </is>
      </c>
      <c r="B377" s="22" t="n">
        <v>45778</v>
      </c>
      <c r="C377" s="21" t="inlineStr">
        <is>
          <t>R04</t>
        </is>
      </c>
      <c r="D377" s="21" t="inlineStr">
        <is>
          <t>P500</t>
        </is>
      </c>
      <c r="E377" s="21" t="n">
        <v>13</v>
      </c>
      <c r="F377" s="23" t="n">
        <v>0</v>
      </c>
      <c r="G377" s="24">
        <f>TEXT(B377,"mmm")</f>
        <v/>
      </c>
      <c r="H377" s="24">
        <f>HLOOKUP(C377,Lookups!$H$4:$K$5,2,FALSE)</f>
        <v/>
      </c>
      <c r="I377" s="24">
        <f>VLOOKUP(D377,Lookups!$A$5:$E$10,2,FALSE)</f>
        <v/>
      </c>
      <c r="J377" s="24">
        <f>VLOOKUP(D377,Lookups!$A$5:$E$10,3,FALSE)</f>
        <v/>
      </c>
      <c r="K377" s="25">
        <f>VLOOKUP(D377,Lookups!$A$5:$E$10,4,FALSE)</f>
        <v/>
      </c>
      <c r="L377" s="25">
        <f>E377*K377*(1-F377)</f>
        <v/>
      </c>
      <c r="M377" s="25">
        <f>L377*VLOOKUP(D377,Lookups!$A$5:$E$10,5,FALSE)</f>
        <v/>
      </c>
    </row>
    <row r="378">
      <c r="A378" s="21" t="inlineStr">
        <is>
          <t>INV-11066</t>
        </is>
      </c>
      <c r="B378" s="22" t="n">
        <v>45778</v>
      </c>
      <c r="C378" s="21" t="inlineStr">
        <is>
          <t>R03</t>
        </is>
      </c>
      <c r="D378" s="21" t="inlineStr">
        <is>
          <t>P600</t>
        </is>
      </c>
      <c r="E378" s="21" t="n">
        <v>24</v>
      </c>
      <c r="F378" s="23" t="n">
        <v>0</v>
      </c>
      <c r="G378" s="24">
        <f>TEXT(B378,"mmm")</f>
        <v/>
      </c>
      <c r="H378" s="24">
        <f>HLOOKUP(C378,Lookups!$H$4:$K$5,2,FALSE)</f>
        <v/>
      </c>
      <c r="I378" s="24">
        <f>VLOOKUP(D378,Lookups!$A$5:$E$10,2,FALSE)</f>
        <v/>
      </c>
      <c r="J378" s="24">
        <f>VLOOKUP(D378,Lookups!$A$5:$E$10,3,FALSE)</f>
        <v/>
      </c>
      <c r="K378" s="25">
        <f>VLOOKUP(D378,Lookups!$A$5:$E$10,4,FALSE)</f>
        <v/>
      </c>
      <c r="L378" s="25">
        <f>E378*K378*(1-F378)</f>
        <v/>
      </c>
      <c r="M378" s="25">
        <f>L378*VLOOKUP(D378,Lookups!$A$5:$E$10,5,FALSE)</f>
        <v/>
      </c>
    </row>
    <row r="379">
      <c r="A379" s="21" t="inlineStr">
        <is>
          <t>INV-10082</t>
        </is>
      </c>
      <c r="B379" s="22" t="n">
        <v>45779</v>
      </c>
      <c r="C379" s="21" t="inlineStr">
        <is>
          <t>R02</t>
        </is>
      </c>
      <c r="D379" s="21" t="inlineStr">
        <is>
          <t>P200</t>
        </is>
      </c>
      <c r="E379" s="21" t="n">
        <v>14</v>
      </c>
      <c r="F379" s="23" t="n">
        <v>0</v>
      </c>
      <c r="G379" s="24">
        <f>TEXT(B379,"mmm")</f>
        <v/>
      </c>
      <c r="H379" s="24">
        <f>HLOOKUP(C379,Lookups!$H$4:$K$5,2,FALSE)</f>
        <v/>
      </c>
      <c r="I379" s="24">
        <f>VLOOKUP(D379,Lookups!$A$5:$E$10,2,FALSE)</f>
        <v/>
      </c>
      <c r="J379" s="24">
        <f>VLOOKUP(D379,Lookups!$A$5:$E$10,3,FALSE)</f>
        <v/>
      </c>
      <c r="K379" s="25">
        <f>VLOOKUP(D379,Lookups!$A$5:$E$10,4,FALSE)</f>
        <v/>
      </c>
      <c r="L379" s="25">
        <f>E379*K379*(1-F379)</f>
        <v/>
      </c>
      <c r="M379" s="25">
        <f>L379*VLOOKUP(D379,Lookups!$A$5:$E$10,5,FALSE)</f>
        <v/>
      </c>
    </row>
    <row r="380">
      <c r="A380" s="21" t="inlineStr">
        <is>
          <t>INV-10349</t>
        </is>
      </c>
      <c r="B380" s="22" t="n">
        <v>45779</v>
      </c>
      <c r="C380" s="21" t="inlineStr">
        <is>
          <t>R01</t>
        </is>
      </c>
      <c r="D380" s="21" t="inlineStr">
        <is>
          <t>P300</t>
        </is>
      </c>
      <c r="E380" s="21" t="n">
        <v>2</v>
      </c>
      <c r="F380" s="23" t="n">
        <v>0</v>
      </c>
      <c r="G380" s="24">
        <f>TEXT(B380,"mmm")</f>
        <v/>
      </c>
      <c r="H380" s="24">
        <f>HLOOKUP(C380,Lookups!$H$4:$K$5,2,FALSE)</f>
        <v/>
      </c>
      <c r="I380" s="24">
        <f>VLOOKUP(D380,Lookups!$A$5:$E$10,2,FALSE)</f>
        <v/>
      </c>
      <c r="J380" s="24">
        <f>VLOOKUP(D380,Lookups!$A$5:$E$10,3,FALSE)</f>
        <v/>
      </c>
      <c r="K380" s="25">
        <f>VLOOKUP(D380,Lookups!$A$5:$E$10,4,FALSE)</f>
        <v/>
      </c>
      <c r="L380" s="25">
        <f>E380*K380*(1-F380)</f>
        <v/>
      </c>
      <c r="M380" s="25">
        <f>L380*VLOOKUP(D380,Lookups!$A$5:$E$10,5,FALSE)</f>
        <v/>
      </c>
    </row>
    <row r="381">
      <c r="A381" s="21" t="inlineStr">
        <is>
          <t>INV-11044</t>
        </is>
      </c>
      <c r="B381" s="22" t="n">
        <v>45779</v>
      </c>
      <c r="C381" s="21" t="inlineStr">
        <is>
          <t>R04</t>
        </is>
      </c>
      <c r="D381" s="21" t="inlineStr">
        <is>
          <t>P300</t>
        </is>
      </c>
      <c r="E381" s="21" t="n">
        <v>20</v>
      </c>
      <c r="F381" s="23" t="n">
        <v>0.05</v>
      </c>
      <c r="G381" s="24">
        <f>TEXT(B381,"mmm")</f>
        <v/>
      </c>
      <c r="H381" s="24">
        <f>HLOOKUP(C381,Lookups!$H$4:$K$5,2,FALSE)</f>
        <v/>
      </c>
      <c r="I381" s="24">
        <f>VLOOKUP(D381,Lookups!$A$5:$E$10,2,FALSE)</f>
        <v/>
      </c>
      <c r="J381" s="24">
        <f>VLOOKUP(D381,Lookups!$A$5:$E$10,3,FALSE)</f>
        <v/>
      </c>
      <c r="K381" s="25">
        <f>VLOOKUP(D381,Lookups!$A$5:$E$10,4,FALSE)</f>
        <v/>
      </c>
      <c r="L381" s="25">
        <f>E381*K381*(1-F381)</f>
        <v/>
      </c>
      <c r="M381" s="25">
        <f>L381*VLOOKUP(D381,Lookups!$A$5:$E$10,5,FALSE)</f>
        <v/>
      </c>
    </row>
    <row r="382">
      <c r="A382" s="21" t="inlineStr">
        <is>
          <t>INV-10132</t>
        </is>
      </c>
      <c r="B382" s="22" t="n">
        <v>45780</v>
      </c>
      <c r="C382" s="21" t="inlineStr">
        <is>
          <t>R04</t>
        </is>
      </c>
      <c r="D382" s="21" t="inlineStr">
        <is>
          <t>P200</t>
        </is>
      </c>
      <c r="E382" s="21" t="n">
        <v>22</v>
      </c>
      <c r="F382" s="23" t="n">
        <v>0</v>
      </c>
      <c r="G382" s="24">
        <f>TEXT(B382,"mmm")</f>
        <v/>
      </c>
      <c r="H382" s="24">
        <f>HLOOKUP(C382,Lookups!$H$4:$K$5,2,FALSE)</f>
        <v/>
      </c>
      <c r="I382" s="24">
        <f>VLOOKUP(D382,Lookups!$A$5:$E$10,2,FALSE)</f>
        <v/>
      </c>
      <c r="J382" s="24">
        <f>VLOOKUP(D382,Lookups!$A$5:$E$10,3,FALSE)</f>
        <v/>
      </c>
      <c r="K382" s="25">
        <f>VLOOKUP(D382,Lookups!$A$5:$E$10,4,FALSE)</f>
        <v/>
      </c>
      <c r="L382" s="25">
        <f>E382*K382*(1-F382)</f>
        <v/>
      </c>
      <c r="M382" s="25">
        <f>L382*VLOOKUP(D382,Lookups!$A$5:$E$10,5,FALSE)</f>
        <v/>
      </c>
    </row>
    <row r="383">
      <c r="A383" s="21" t="inlineStr">
        <is>
          <t>INV-10353</t>
        </is>
      </c>
      <c r="B383" s="22" t="n">
        <v>45781</v>
      </c>
      <c r="C383" s="21" t="inlineStr">
        <is>
          <t>R04</t>
        </is>
      </c>
      <c r="D383" s="21" t="inlineStr">
        <is>
          <t>P500</t>
        </is>
      </c>
      <c r="E383" s="21" t="n">
        <v>6</v>
      </c>
      <c r="F383" s="23" t="n">
        <v>0</v>
      </c>
      <c r="G383" s="24">
        <f>TEXT(B383,"mmm")</f>
        <v/>
      </c>
      <c r="H383" s="24">
        <f>HLOOKUP(C383,Lookups!$H$4:$K$5,2,FALSE)</f>
        <v/>
      </c>
      <c r="I383" s="24">
        <f>VLOOKUP(D383,Lookups!$A$5:$E$10,2,FALSE)</f>
        <v/>
      </c>
      <c r="J383" s="24">
        <f>VLOOKUP(D383,Lookups!$A$5:$E$10,3,FALSE)</f>
        <v/>
      </c>
      <c r="K383" s="25">
        <f>VLOOKUP(D383,Lookups!$A$5:$E$10,4,FALSE)</f>
        <v/>
      </c>
      <c r="L383" s="25">
        <f>E383*K383*(1-F383)</f>
        <v/>
      </c>
      <c r="M383" s="25">
        <f>L383*VLOOKUP(D383,Lookups!$A$5:$E$10,5,FALSE)</f>
        <v/>
      </c>
    </row>
    <row r="384">
      <c r="A384" s="21" t="inlineStr">
        <is>
          <t>INV-10415</t>
        </is>
      </c>
      <c r="B384" s="22" t="n">
        <v>45781</v>
      </c>
      <c r="C384" s="21" t="inlineStr">
        <is>
          <t>R03</t>
        </is>
      </c>
      <c r="D384" s="21" t="inlineStr">
        <is>
          <t>P200</t>
        </is>
      </c>
      <c r="E384" s="21" t="n">
        <v>2</v>
      </c>
      <c r="F384" s="23" t="n">
        <v>0</v>
      </c>
      <c r="G384" s="24">
        <f>TEXT(B384,"mmm")</f>
        <v/>
      </c>
      <c r="H384" s="24">
        <f>HLOOKUP(C384,Lookups!$H$4:$K$5,2,FALSE)</f>
        <v/>
      </c>
      <c r="I384" s="24">
        <f>VLOOKUP(D384,Lookups!$A$5:$E$10,2,FALSE)</f>
        <v/>
      </c>
      <c r="J384" s="24">
        <f>VLOOKUP(D384,Lookups!$A$5:$E$10,3,FALSE)</f>
        <v/>
      </c>
      <c r="K384" s="25">
        <f>VLOOKUP(D384,Lookups!$A$5:$E$10,4,FALSE)</f>
        <v/>
      </c>
      <c r="L384" s="25">
        <f>E384*K384*(1-F384)</f>
        <v/>
      </c>
      <c r="M384" s="25">
        <f>L384*VLOOKUP(D384,Lookups!$A$5:$E$10,5,FALSE)</f>
        <v/>
      </c>
    </row>
    <row r="385">
      <c r="A385" s="21" t="inlineStr">
        <is>
          <t>INV-10503</t>
        </is>
      </c>
      <c r="B385" s="22" t="n">
        <v>45781</v>
      </c>
      <c r="C385" s="21" t="inlineStr">
        <is>
          <t>R03</t>
        </is>
      </c>
      <c r="D385" s="21" t="inlineStr">
        <is>
          <t>P200</t>
        </is>
      </c>
      <c r="E385" s="21" t="n">
        <v>23</v>
      </c>
      <c r="F385" s="23" t="n">
        <v>0</v>
      </c>
      <c r="G385" s="24">
        <f>TEXT(B385,"mmm")</f>
        <v/>
      </c>
      <c r="H385" s="24">
        <f>HLOOKUP(C385,Lookups!$H$4:$K$5,2,FALSE)</f>
        <v/>
      </c>
      <c r="I385" s="24">
        <f>VLOOKUP(D385,Lookups!$A$5:$E$10,2,FALSE)</f>
        <v/>
      </c>
      <c r="J385" s="24">
        <f>VLOOKUP(D385,Lookups!$A$5:$E$10,3,FALSE)</f>
        <v/>
      </c>
      <c r="K385" s="25">
        <f>VLOOKUP(D385,Lookups!$A$5:$E$10,4,FALSE)</f>
        <v/>
      </c>
      <c r="L385" s="25">
        <f>E385*K385*(1-F385)</f>
        <v/>
      </c>
      <c r="M385" s="25">
        <f>L385*VLOOKUP(D385,Lookups!$A$5:$E$10,5,FALSE)</f>
        <v/>
      </c>
    </row>
    <row r="386">
      <c r="A386" s="21" t="inlineStr">
        <is>
          <t>INV-10253</t>
        </is>
      </c>
      <c r="B386" s="22" t="n">
        <v>45782</v>
      </c>
      <c r="C386" s="21" t="inlineStr">
        <is>
          <t>R02</t>
        </is>
      </c>
      <c r="D386" s="21" t="inlineStr">
        <is>
          <t>P200</t>
        </is>
      </c>
      <c r="E386" s="21" t="n">
        <v>3</v>
      </c>
      <c r="F386" s="23" t="n">
        <v>0</v>
      </c>
      <c r="G386" s="24">
        <f>TEXT(B386,"mmm")</f>
        <v/>
      </c>
      <c r="H386" s="24">
        <f>HLOOKUP(C386,Lookups!$H$4:$K$5,2,FALSE)</f>
        <v/>
      </c>
      <c r="I386" s="24">
        <f>VLOOKUP(D386,Lookups!$A$5:$E$10,2,FALSE)</f>
        <v/>
      </c>
      <c r="J386" s="24">
        <f>VLOOKUP(D386,Lookups!$A$5:$E$10,3,FALSE)</f>
        <v/>
      </c>
      <c r="K386" s="25">
        <f>VLOOKUP(D386,Lookups!$A$5:$E$10,4,FALSE)</f>
        <v/>
      </c>
      <c r="L386" s="25">
        <f>E386*K386*(1-F386)</f>
        <v/>
      </c>
      <c r="M386" s="25">
        <f>L386*VLOOKUP(D386,Lookups!$A$5:$E$10,5,FALSE)</f>
        <v/>
      </c>
    </row>
    <row r="387">
      <c r="A387" s="21" t="inlineStr">
        <is>
          <t>INV-10301</t>
        </is>
      </c>
      <c r="B387" s="22" t="n">
        <v>45782</v>
      </c>
      <c r="C387" s="21" t="inlineStr">
        <is>
          <t>R04</t>
        </is>
      </c>
      <c r="D387" s="21" t="inlineStr">
        <is>
          <t>P400</t>
        </is>
      </c>
      <c r="E387" s="21" t="n">
        <v>17</v>
      </c>
      <c r="F387" s="23" t="n">
        <v>0</v>
      </c>
      <c r="G387" s="24">
        <f>TEXT(B387,"mmm")</f>
        <v/>
      </c>
      <c r="H387" s="24">
        <f>HLOOKUP(C387,Lookups!$H$4:$K$5,2,FALSE)</f>
        <v/>
      </c>
      <c r="I387" s="24">
        <f>VLOOKUP(D387,Lookups!$A$5:$E$10,2,FALSE)</f>
        <v/>
      </c>
      <c r="J387" s="24">
        <f>VLOOKUP(D387,Lookups!$A$5:$E$10,3,FALSE)</f>
        <v/>
      </c>
      <c r="K387" s="25">
        <f>VLOOKUP(D387,Lookups!$A$5:$E$10,4,FALSE)</f>
        <v/>
      </c>
      <c r="L387" s="25">
        <f>E387*K387*(1-F387)</f>
        <v/>
      </c>
      <c r="M387" s="25">
        <f>L387*VLOOKUP(D387,Lookups!$A$5:$E$10,5,FALSE)</f>
        <v/>
      </c>
    </row>
    <row r="388">
      <c r="A388" s="21" t="inlineStr">
        <is>
          <t>INV-10589</t>
        </is>
      </c>
      <c r="B388" s="22" t="n">
        <v>45782</v>
      </c>
      <c r="C388" s="21" t="inlineStr">
        <is>
          <t>R02</t>
        </is>
      </c>
      <c r="D388" s="21" t="inlineStr">
        <is>
          <t>P500</t>
        </is>
      </c>
      <c r="E388" s="21" t="n">
        <v>18</v>
      </c>
      <c r="F388" s="23" t="n">
        <v>0</v>
      </c>
      <c r="G388" s="24">
        <f>TEXT(B388,"mmm")</f>
        <v/>
      </c>
      <c r="H388" s="24">
        <f>HLOOKUP(C388,Lookups!$H$4:$K$5,2,FALSE)</f>
        <v/>
      </c>
      <c r="I388" s="24">
        <f>VLOOKUP(D388,Lookups!$A$5:$E$10,2,FALSE)</f>
        <v/>
      </c>
      <c r="J388" s="24">
        <f>VLOOKUP(D388,Lookups!$A$5:$E$10,3,FALSE)</f>
        <v/>
      </c>
      <c r="K388" s="25">
        <f>VLOOKUP(D388,Lookups!$A$5:$E$10,4,FALSE)</f>
        <v/>
      </c>
      <c r="L388" s="25">
        <f>E388*K388*(1-F388)</f>
        <v/>
      </c>
      <c r="M388" s="25">
        <f>L388*VLOOKUP(D388,Lookups!$A$5:$E$10,5,FALSE)</f>
        <v/>
      </c>
    </row>
    <row r="389">
      <c r="A389" s="21" t="inlineStr">
        <is>
          <t>INV-11024</t>
        </is>
      </c>
      <c r="B389" s="22" t="n">
        <v>45782</v>
      </c>
      <c r="C389" s="21" t="inlineStr">
        <is>
          <t>R04</t>
        </is>
      </c>
      <c r="D389" s="21" t="inlineStr">
        <is>
          <t>P300</t>
        </is>
      </c>
      <c r="E389" s="21" t="n">
        <v>22</v>
      </c>
      <c r="F389" s="23" t="n">
        <v>0.1</v>
      </c>
      <c r="G389" s="24">
        <f>TEXT(B389,"mmm")</f>
        <v/>
      </c>
      <c r="H389" s="24">
        <f>HLOOKUP(C389,Lookups!$H$4:$K$5,2,FALSE)</f>
        <v/>
      </c>
      <c r="I389" s="24">
        <f>VLOOKUP(D389,Lookups!$A$5:$E$10,2,FALSE)</f>
        <v/>
      </c>
      <c r="J389" s="24">
        <f>VLOOKUP(D389,Lookups!$A$5:$E$10,3,FALSE)</f>
        <v/>
      </c>
      <c r="K389" s="25">
        <f>VLOOKUP(D389,Lookups!$A$5:$E$10,4,FALSE)</f>
        <v/>
      </c>
      <c r="L389" s="25">
        <f>E389*K389*(1-F389)</f>
        <v/>
      </c>
      <c r="M389" s="25">
        <f>L389*VLOOKUP(D389,Lookups!$A$5:$E$10,5,FALSE)</f>
        <v/>
      </c>
    </row>
    <row r="390">
      <c r="A390" s="21" t="inlineStr">
        <is>
          <t>INV-11164</t>
        </is>
      </c>
      <c r="B390" s="22" t="n">
        <v>45782</v>
      </c>
      <c r="C390" s="21" t="inlineStr">
        <is>
          <t>R03</t>
        </is>
      </c>
      <c r="D390" s="21" t="inlineStr">
        <is>
          <t>P100</t>
        </is>
      </c>
      <c r="E390" s="21" t="n">
        <v>25</v>
      </c>
      <c r="F390" s="23" t="n">
        <v>0.1</v>
      </c>
      <c r="G390" s="24">
        <f>TEXT(B390,"mmm")</f>
        <v/>
      </c>
      <c r="H390" s="24">
        <f>HLOOKUP(C390,Lookups!$H$4:$K$5,2,FALSE)</f>
        <v/>
      </c>
      <c r="I390" s="24">
        <f>VLOOKUP(D390,Lookups!$A$5:$E$10,2,FALSE)</f>
        <v/>
      </c>
      <c r="J390" s="24">
        <f>VLOOKUP(D390,Lookups!$A$5:$E$10,3,FALSE)</f>
        <v/>
      </c>
      <c r="K390" s="25">
        <f>VLOOKUP(D390,Lookups!$A$5:$E$10,4,FALSE)</f>
        <v/>
      </c>
      <c r="L390" s="25">
        <f>E390*K390*(1-F390)</f>
        <v/>
      </c>
      <c r="M390" s="25">
        <f>L390*VLOOKUP(D390,Lookups!$A$5:$E$10,5,FALSE)</f>
        <v/>
      </c>
    </row>
    <row r="391">
      <c r="A391" s="21" t="inlineStr">
        <is>
          <t>INV-11171</t>
        </is>
      </c>
      <c r="B391" s="22" t="n">
        <v>45782</v>
      </c>
      <c r="C391" s="21" t="inlineStr">
        <is>
          <t>R02</t>
        </is>
      </c>
      <c r="D391" s="21" t="inlineStr">
        <is>
          <t>P500</t>
        </is>
      </c>
      <c r="E391" s="21" t="n">
        <v>10</v>
      </c>
      <c r="F391" s="23" t="n">
        <v>0</v>
      </c>
      <c r="G391" s="24">
        <f>TEXT(B391,"mmm")</f>
        <v/>
      </c>
      <c r="H391" s="24">
        <f>HLOOKUP(C391,Lookups!$H$4:$K$5,2,FALSE)</f>
        <v/>
      </c>
      <c r="I391" s="24">
        <f>VLOOKUP(D391,Lookups!$A$5:$E$10,2,FALSE)</f>
        <v/>
      </c>
      <c r="J391" s="24">
        <f>VLOOKUP(D391,Lookups!$A$5:$E$10,3,FALSE)</f>
        <v/>
      </c>
      <c r="K391" s="25">
        <f>VLOOKUP(D391,Lookups!$A$5:$E$10,4,FALSE)</f>
        <v/>
      </c>
      <c r="L391" s="25">
        <f>E391*K391*(1-F391)</f>
        <v/>
      </c>
      <c r="M391" s="25">
        <f>L391*VLOOKUP(D391,Lookups!$A$5:$E$10,5,FALSE)</f>
        <v/>
      </c>
    </row>
    <row r="392">
      <c r="A392" s="21" t="inlineStr">
        <is>
          <t>INV-10001</t>
        </is>
      </c>
      <c r="B392" s="22" t="n">
        <v>45783</v>
      </c>
      <c r="C392" s="21" t="inlineStr">
        <is>
          <t>R02</t>
        </is>
      </c>
      <c r="D392" s="21" t="inlineStr">
        <is>
          <t>P200</t>
        </is>
      </c>
      <c r="E392" s="21" t="n">
        <v>24</v>
      </c>
      <c r="F392" s="23" t="n">
        <v>0</v>
      </c>
      <c r="G392" s="24">
        <f>TEXT(B392,"mmm")</f>
        <v/>
      </c>
      <c r="H392" s="24">
        <f>HLOOKUP(C392,Lookups!$H$4:$K$5,2,FALSE)</f>
        <v/>
      </c>
      <c r="I392" s="24">
        <f>VLOOKUP(D392,Lookups!$A$5:$E$10,2,FALSE)</f>
        <v/>
      </c>
      <c r="J392" s="24">
        <f>VLOOKUP(D392,Lookups!$A$5:$E$10,3,FALSE)</f>
        <v/>
      </c>
      <c r="K392" s="25">
        <f>VLOOKUP(D392,Lookups!$A$5:$E$10,4,FALSE)</f>
        <v/>
      </c>
      <c r="L392" s="25">
        <f>E392*K392*(1-F392)</f>
        <v/>
      </c>
      <c r="M392" s="25">
        <f>L392*VLOOKUP(D392,Lookups!$A$5:$E$10,5,FALSE)</f>
        <v/>
      </c>
    </row>
    <row r="393">
      <c r="A393" s="21" t="inlineStr">
        <is>
          <t>INV-10494</t>
        </is>
      </c>
      <c r="B393" s="22" t="n">
        <v>45783</v>
      </c>
      <c r="C393" s="21" t="inlineStr">
        <is>
          <t>R01</t>
        </is>
      </c>
      <c r="D393" s="21" t="inlineStr">
        <is>
          <t>P600</t>
        </is>
      </c>
      <c r="E393" s="21" t="n">
        <v>13</v>
      </c>
      <c r="F393" s="23" t="n">
        <v>0.1</v>
      </c>
      <c r="G393" s="24">
        <f>TEXT(B393,"mmm")</f>
        <v/>
      </c>
      <c r="H393" s="24">
        <f>HLOOKUP(C393,Lookups!$H$4:$K$5,2,FALSE)</f>
        <v/>
      </c>
      <c r="I393" s="24">
        <f>VLOOKUP(D393,Lookups!$A$5:$E$10,2,FALSE)</f>
        <v/>
      </c>
      <c r="J393" s="24">
        <f>VLOOKUP(D393,Lookups!$A$5:$E$10,3,FALSE)</f>
        <v/>
      </c>
      <c r="K393" s="25">
        <f>VLOOKUP(D393,Lookups!$A$5:$E$10,4,FALSE)</f>
        <v/>
      </c>
      <c r="L393" s="25">
        <f>E393*K393*(1-F393)</f>
        <v/>
      </c>
      <c r="M393" s="25">
        <f>L393*VLOOKUP(D393,Lookups!$A$5:$E$10,5,FALSE)</f>
        <v/>
      </c>
    </row>
    <row r="394">
      <c r="A394" s="21" t="inlineStr">
        <is>
          <t>INV-10112</t>
        </is>
      </c>
      <c r="B394" s="22" t="n">
        <v>45784</v>
      </c>
      <c r="C394" s="21" t="inlineStr">
        <is>
          <t>R03</t>
        </is>
      </c>
      <c r="D394" s="21" t="inlineStr">
        <is>
          <t>P600</t>
        </is>
      </c>
      <c r="E394" s="21" t="n">
        <v>25</v>
      </c>
      <c r="F394" s="23" t="n">
        <v>0.1</v>
      </c>
      <c r="G394" s="24">
        <f>TEXT(B394,"mmm")</f>
        <v/>
      </c>
      <c r="H394" s="24">
        <f>HLOOKUP(C394,Lookups!$H$4:$K$5,2,FALSE)</f>
        <v/>
      </c>
      <c r="I394" s="24">
        <f>VLOOKUP(D394,Lookups!$A$5:$E$10,2,FALSE)</f>
        <v/>
      </c>
      <c r="J394" s="24">
        <f>VLOOKUP(D394,Lookups!$A$5:$E$10,3,FALSE)</f>
        <v/>
      </c>
      <c r="K394" s="25">
        <f>VLOOKUP(D394,Lookups!$A$5:$E$10,4,FALSE)</f>
        <v/>
      </c>
      <c r="L394" s="25">
        <f>E394*K394*(1-F394)</f>
        <v/>
      </c>
      <c r="M394" s="25">
        <f>L394*VLOOKUP(D394,Lookups!$A$5:$E$10,5,FALSE)</f>
        <v/>
      </c>
    </row>
    <row r="395">
      <c r="A395" s="21" t="inlineStr">
        <is>
          <t>INV-10131</t>
        </is>
      </c>
      <c r="B395" s="22" t="n">
        <v>45784</v>
      </c>
      <c r="C395" s="21" t="inlineStr">
        <is>
          <t>R01</t>
        </is>
      </c>
      <c r="D395" s="21" t="inlineStr">
        <is>
          <t>P200</t>
        </is>
      </c>
      <c r="E395" s="21" t="n">
        <v>20</v>
      </c>
      <c r="F395" s="23" t="n">
        <v>0</v>
      </c>
      <c r="G395" s="24">
        <f>TEXT(B395,"mmm")</f>
        <v/>
      </c>
      <c r="H395" s="24">
        <f>HLOOKUP(C395,Lookups!$H$4:$K$5,2,FALSE)</f>
        <v/>
      </c>
      <c r="I395" s="24">
        <f>VLOOKUP(D395,Lookups!$A$5:$E$10,2,FALSE)</f>
        <v/>
      </c>
      <c r="J395" s="24">
        <f>VLOOKUP(D395,Lookups!$A$5:$E$10,3,FALSE)</f>
        <v/>
      </c>
      <c r="K395" s="25">
        <f>VLOOKUP(D395,Lookups!$A$5:$E$10,4,FALSE)</f>
        <v/>
      </c>
      <c r="L395" s="25">
        <f>E395*K395*(1-F395)</f>
        <v/>
      </c>
      <c r="M395" s="25">
        <f>L395*VLOOKUP(D395,Lookups!$A$5:$E$10,5,FALSE)</f>
        <v/>
      </c>
    </row>
    <row r="396">
      <c r="A396" s="21" t="inlineStr">
        <is>
          <t>INV-10549</t>
        </is>
      </c>
      <c r="B396" s="22" t="n">
        <v>45784</v>
      </c>
      <c r="C396" s="21" t="inlineStr">
        <is>
          <t>R01</t>
        </is>
      </c>
      <c r="D396" s="21" t="inlineStr">
        <is>
          <t>P600</t>
        </is>
      </c>
      <c r="E396" s="21" t="n">
        <v>3</v>
      </c>
      <c r="F396" s="23" t="n">
        <v>0.05</v>
      </c>
      <c r="G396" s="24">
        <f>TEXT(B396,"mmm")</f>
        <v/>
      </c>
      <c r="H396" s="24">
        <f>HLOOKUP(C396,Lookups!$H$4:$K$5,2,FALSE)</f>
        <v/>
      </c>
      <c r="I396" s="24">
        <f>VLOOKUP(D396,Lookups!$A$5:$E$10,2,FALSE)</f>
        <v/>
      </c>
      <c r="J396" s="24">
        <f>VLOOKUP(D396,Lookups!$A$5:$E$10,3,FALSE)</f>
        <v/>
      </c>
      <c r="K396" s="25">
        <f>VLOOKUP(D396,Lookups!$A$5:$E$10,4,FALSE)</f>
        <v/>
      </c>
      <c r="L396" s="25">
        <f>E396*K396*(1-F396)</f>
        <v/>
      </c>
      <c r="M396" s="25">
        <f>L396*VLOOKUP(D396,Lookups!$A$5:$E$10,5,FALSE)</f>
        <v/>
      </c>
    </row>
    <row r="397">
      <c r="A397" s="21" t="inlineStr">
        <is>
          <t>INV-10624</t>
        </is>
      </c>
      <c r="B397" s="22" t="n">
        <v>45784</v>
      </c>
      <c r="C397" s="21" t="inlineStr">
        <is>
          <t>R04</t>
        </is>
      </c>
      <c r="D397" s="21" t="inlineStr">
        <is>
          <t>P600</t>
        </is>
      </c>
      <c r="E397" s="21" t="n">
        <v>16</v>
      </c>
      <c r="F397" s="23" t="n">
        <v>0</v>
      </c>
      <c r="G397" s="24">
        <f>TEXT(B397,"mmm")</f>
        <v/>
      </c>
      <c r="H397" s="24">
        <f>HLOOKUP(C397,Lookups!$H$4:$K$5,2,FALSE)</f>
        <v/>
      </c>
      <c r="I397" s="24">
        <f>VLOOKUP(D397,Lookups!$A$5:$E$10,2,FALSE)</f>
        <v/>
      </c>
      <c r="J397" s="24">
        <f>VLOOKUP(D397,Lookups!$A$5:$E$10,3,FALSE)</f>
        <v/>
      </c>
      <c r="K397" s="25">
        <f>VLOOKUP(D397,Lookups!$A$5:$E$10,4,FALSE)</f>
        <v/>
      </c>
      <c r="L397" s="25">
        <f>E397*K397*(1-F397)</f>
        <v/>
      </c>
      <c r="M397" s="25">
        <f>L397*VLOOKUP(D397,Lookups!$A$5:$E$10,5,FALSE)</f>
        <v/>
      </c>
    </row>
    <row r="398">
      <c r="A398" s="21" t="inlineStr">
        <is>
          <t>INV-10953</t>
        </is>
      </c>
      <c r="B398" s="22" t="n">
        <v>45784</v>
      </c>
      <c r="C398" s="21" t="inlineStr">
        <is>
          <t>R04</t>
        </is>
      </c>
      <c r="D398" s="21" t="inlineStr">
        <is>
          <t>P200</t>
        </is>
      </c>
      <c r="E398" s="21" t="n">
        <v>9</v>
      </c>
      <c r="F398" s="23" t="n">
        <v>0.05</v>
      </c>
      <c r="G398" s="24">
        <f>TEXT(B398,"mmm")</f>
        <v/>
      </c>
      <c r="H398" s="24">
        <f>HLOOKUP(C398,Lookups!$H$4:$K$5,2,FALSE)</f>
        <v/>
      </c>
      <c r="I398" s="24">
        <f>VLOOKUP(D398,Lookups!$A$5:$E$10,2,FALSE)</f>
        <v/>
      </c>
      <c r="J398" s="24">
        <f>VLOOKUP(D398,Lookups!$A$5:$E$10,3,FALSE)</f>
        <v/>
      </c>
      <c r="K398" s="25">
        <f>VLOOKUP(D398,Lookups!$A$5:$E$10,4,FALSE)</f>
        <v/>
      </c>
      <c r="L398" s="25">
        <f>E398*K398*(1-F398)</f>
        <v/>
      </c>
      <c r="M398" s="25">
        <f>L398*VLOOKUP(D398,Lookups!$A$5:$E$10,5,FALSE)</f>
        <v/>
      </c>
    </row>
    <row r="399">
      <c r="A399" s="21" t="inlineStr">
        <is>
          <t>INV-11071</t>
        </is>
      </c>
      <c r="B399" s="22" t="n">
        <v>45784</v>
      </c>
      <c r="C399" s="21" t="inlineStr">
        <is>
          <t>R03</t>
        </is>
      </c>
      <c r="D399" s="21" t="inlineStr">
        <is>
          <t>P600</t>
        </is>
      </c>
      <c r="E399" s="21" t="n">
        <v>15</v>
      </c>
      <c r="F399" s="23" t="n">
        <v>0</v>
      </c>
      <c r="G399" s="24">
        <f>TEXT(B399,"mmm")</f>
        <v/>
      </c>
      <c r="H399" s="24">
        <f>HLOOKUP(C399,Lookups!$H$4:$K$5,2,FALSE)</f>
        <v/>
      </c>
      <c r="I399" s="24">
        <f>VLOOKUP(D399,Lookups!$A$5:$E$10,2,FALSE)</f>
        <v/>
      </c>
      <c r="J399" s="24">
        <f>VLOOKUP(D399,Lookups!$A$5:$E$10,3,FALSE)</f>
        <v/>
      </c>
      <c r="K399" s="25">
        <f>VLOOKUP(D399,Lookups!$A$5:$E$10,4,FALSE)</f>
        <v/>
      </c>
      <c r="L399" s="25">
        <f>E399*K399*(1-F399)</f>
        <v/>
      </c>
      <c r="M399" s="25">
        <f>L399*VLOOKUP(D399,Lookups!$A$5:$E$10,5,FALSE)</f>
        <v/>
      </c>
    </row>
    <row r="400">
      <c r="A400" s="21" t="inlineStr">
        <is>
          <t>INV-11099</t>
        </is>
      </c>
      <c r="B400" s="22" t="n">
        <v>45784</v>
      </c>
      <c r="C400" s="21" t="inlineStr">
        <is>
          <t>R01</t>
        </is>
      </c>
      <c r="D400" s="21" t="inlineStr">
        <is>
          <t>P600</t>
        </is>
      </c>
      <c r="E400" s="21" t="n">
        <v>7</v>
      </c>
      <c r="F400" s="23" t="n">
        <v>0.1</v>
      </c>
      <c r="G400" s="24">
        <f>TEXT(B400,"mmm")</f>
        <v/>
      </c>
      <c r="H400" s="24">
        <f>HLOOKUP(C400,Lookups!$H$4:$K$5,2,FALSE)</f>
        <v/>
      </c>
      <c r="I400" s="24">
        <f>VLOOKUP(D400,Lookups!$A$5:$E$10,2,FALSE)</f>
        <v/>
      </c>
      <c r="J400" s="24">
        <f>VLOOKUP(D400,Lookups!$A$5:$E$10,3,FALSE)</f>
        <v/>
      </c>
      <c r="K400" s="25">
        <f>VLOOKUP(D400,Lookups!$A$5:$E$10,4,FALSE)</f>
        <v/>
      </c>
      <c r="L400" s="25">
        <f>E400*K400*(1-F400)</f>
        <v/>
      </c>
      <c r="M400" s="25">
        <f>L400*VLOOKUP(D400,Lookups!$A$5:$E$10,5,FALSE)</f>
        <v/>
      </c>
    </row>
    <row r="401">
      <c r="A401" s="21" t="inlineStr">
        <is>
          <t>INV-10652</t>
        </is>
      </c>
      <c r="B401" s="22" t="n">
        <v>45785</v>
      </c>
      <c r="C401" s="21" t="inlineStr">
        <is>
          <t>R03</t>
        </is>
      </c>
      <c r="D401" s="21" t="inlineStr">
        <is>
          <t>P500</t>
        </is>
      </c>
      <c r="E401" s="21" t="n">
        <v>25</v>
      </c>
      <c r="F401" s="23" t="n">
        <v>0</v>
      </c>
      <c r="G401" s="24">
        <f>TEXT(B401,"mmm")</f>
        <v/>
      </c>
      <c r="H401" s="24">
        <f>HLOOKUP(C401,Lookups!$H$4:$K$5,2,FALSE)</f>
        <v/>
      </c>
      <c r="I401" s="24">
        <f>VLOOKUP(D401,Lookups!$A$5:$E$10,2,FALSE)</f>
        <v/>
      </c>
      <c r="J401" s="24">
        <f>VLOOKUP(D401,Lookups!$A$5:$E$10,3,FALSE)</f>
        <v/>
      </c>
      <c r="K401" s="25">
        <f>VLOOKUP(D401,Lookups!$A$5:$E$10,4,FALSE)</f>
        <v/>
      </c>
      <c r="L401" s="25">
        <f>E401*K401*(1-F401)</f>
        <v/>
      </c>
      <c r="M401" s="25">
        <f>L401*VLOOKUP(D401,Lookups!$A$5:$E$10,5,FALSE)</f>
        <v/>
      </c>
    </row>
    <row r="402">
      <c r="A402" s="21" t="inlineStr">
        <is>
          <t>INV-10678</t>
        </is>
      </c>
      <c r="B402" s="22" t="n">
        <v>45785</v>
      </c>
      <c r="C402" s="21" t="inlineStr">
        <is>
          <t>R03</t>
        </is>
      </c>
      <c r="D402" s="21" t="inlineStr">
        <is>
          <t>P400</t>
        </is>
      </c>
      <c r="E402" s="21" t="n">
        <v>9</v>
      </c>
      <c r="F402" s="23" t="n">
        <v>0</v>
      </c>
      <c r="G402" s="24">
        <f>TEXT(B402,"mmm")</f>
        <v/>
      </c>
      <c r="H402" s="24">
        <f>HLOOKUP(C402,Lookups!$H$4:$K$5,2,FALSE)</f>
        <v/>
      </c>
      <c r="I402" s="24">
        <f>VLOOKUP(D402,Lookups!$A$5:$E$10,2,FALSE)</f>
        <v/>
      </c>
      <c r="J402" s="24">
        <f>VLOOKUP(D402,Lookups!$A$5:$E$10,3,FALSE)</f>
        <v/>
      </c>
      <c r="K402" s="25">
        <f>VLOOKUP(D402,Lookups!$A$5:$E$10,4,FALSE)</f>
        <v/>
      </c>
      <c r="L402" s="25">
        <f>E402*K402*(1-F402)</f>
        <v/>
      </c>
      <c r="M402" s="25">
        <f>L402*VLOOKUP(D402,Lookups!$A$5:$E$10,5,FALSE)</f>
        <v/>
      </c>
    </row>
    <row r="403">
      <c r="A403" s="21" t="inlineStr">
        <is>
          <t>INV-11108</t>
        </is>
      </c>
      <c r="B403" s="22" t="n">
        <v>45785</v>
      </c>
      <c r="C403" s="21" t="inlineStr">
        <is>
          <t>R04</t>
        </is>
      </c>
      <c r="D403" s="21" t="inlineStr">
        <is>
          <t>P200</t>
        </is>
      </c>
      <c r="E403" s="21" t="n">
        <v>3</v>
      </c>
      <c r="F403" s="23" t="n">
        <v>0.05</v>
      </c>
      <c r="G403" s="24">
        <f>TEXT(B403,"mmm")</f>
        <v/>
      </c>
      <c r="H403" s="24">
        <f>HLOOKUP(C403,Lookups!$H$4:$K$5,2,FALSE)</f>
        <v/>
      </c>
      <c r="I403" s="24">
        <f>VLOOKUP(D403,Lookups!$A$5:$E$10,2,FALSE)</f>
        <v/>
      </c>
      <c r="J403" s="24">
        <f>VLOOKUP(D403,Lookups!$A$5:$E$10,3,FALSE)</f>
        <v/>
      </c>
      <c r="K403" s="25">
        <f>VLOOKUP(D403,Lookups!$A$5:$E$10,4,FALSE)</f>
        <v/>
      </c>
      <c r="L403" s="25">
        <f>E403*K403*(1-F403)</f>
        <v/>
      </c>
      <c r="M403" s="25">
        <f>L403*VLOOKUP(D403,Lookups!$A$5:$E$10,5,FALSE)</f>
        <v/>
      </c>
    </row>
    <row r="404">
      <c r="A404" s="21" t="inlineStr">
        <is>
          <t>INV-10931</t>
        </is>
      </c>
      <c r="B404" s="22" t="n">
        <v>45786</v>
      </c>
      <c r="C404" s="21" t="inlineStr">
        <is>
          <t>R01</t>
        </is>
      </c>
      <c r="D404" s="21" t="inlineStr">
        <is>
          <t>P500</t>
        </is>
      </c>
      <c r="E404" s="21" t="n">
        <v>19</v>
      </c>
      <c r="F404" s="23" t="n">
        <v>0</v>
      </c>
      <c r="G404" s="24">
        <f>TEXT(B404,"mmm")</f>
        <v/>
      </c>
      <c r="H404" s="24">
        <f>HLOOKUP(C404,Lookups!$H$4:$K$5,2,FALSE)</f>
        <v/>
      </c>
      <c r="I404" s="24">
        <f>VLOOKUP(D404,Lookups!$A$5:$E$10,2,FALSE)</f>
        <v/>
      </c>
      <c r="J404" s="24">
        <f>VLOOKUP(D404,Lookups!$A$5:$E$10,3,FALSE)</f>
        <v/>
      </c>
      <c r="K404" s="25">
        <f>VLOOKUP(D404,Lookups!$A$5:$E$10,4,FALSE)</f>
        <v/>
      </c>
      <c r="L404" s="25">
        <f>E404*K404*(1-F404)</f>
        <v/>
      </c>
      <c r="M404" s="25">
        <f>L404*VLOOKUP(D404,Lookups!$A$5:$E$10,5,FALSE)</f>
        <v/>
      </c>
    </row>
    <row r="405">
      <c r="A405" s="21" t="inlineStr">
        <is>
          <t>INV-10947</t>
        </is>
      </c>
      <c r="B405" s="22" t="n">
        <v>45786</v>
      </c>
      <c r="C405" s="21" t="inlineStr">
        <is>
          <t>R02</t>
        </is>
      </c>
      <c r="D405" s="21" t="inlineStr">
        <is>
          <t>P100</t>
        </is>
      </c>
      <c r="E405" s="21" t="n">
        <v>24</v>
      </c>
      <c r="F405" s="23" t="n">
        <v>0.1</v>
      </c>
      <c r="G405" s="24">
        <f>TEXT(B405,"mmm")</f>
        <v/>
      </c>
      <c r="H405" s="24">
        <f>HLOOKUP(C405,Lookups!$H$4:$K$5,2,FALSE)</f>
        <v/>
      </c>
      <c r="I405" s="24">
        <f>VLOOKUP(D405,Lookups!$A$5:$E$10,2,FALSE)</f>
        <v/>
      </c>
      <c r="J405" s="24">
        <f>VLOOKUP(D405,Lookups!$A$5:$E$10,3,FALSE)</f>
        <v/>
      </c>
      <c r="K405" s="25">
        <f>VLOOKUP(D405,Lookups!$A$5:$E$10,4,FALSE)</f>
        <v/>
      </c>
      <c r="L405" s="25">
        <f>E405*K405*(1-F405)</f>
        <v/>
      </c>
      <c r="M405" s="25">
        <f>L405*VLOOKUP(D405,Lookups!$A$5:$E$10,5,FALSE)</f>
        <v/>
      </c>
    </row>
    <row r="406">
      <c r="A406" s="21" t="inlineStr">
        <is>
          <t>INV-11113</t>
        </is>
      </c>
      <c r="B406" s="22" t="n">
        <v>45786</v>
      </c>
      <c r="C406" s="21" t="inlineStr">
        <is>
          <t>R04</t>
        </is>
      </c>
      <c r="D406" s="21" t="inlineStr">
        <is>
          <t>P100</t>
        </is>
      </c>
      <c r="E406" s="21" t="n">
        <v>23</v>
      </c>
      <c r="F406" s="23" t="n">
        <v>0.1</v>
      </c>
      <c r="G406" s="24">
        <f>TEXT(B406,"mmm")</f>
        <v/>
      </c>
      <c r="H406" s="24">
        <f>HLOOKUP(C406,Lookups!$H$4:$K$5,2,FALSE)</f>
        <v/>
      </c>
      <c r="I406" s="24">
        <f>VLOOKUP(D406,Lookups!$A$5:$E$10,2,FALSE)</f>
        <v/>
      </c>
      <c r="J406" s="24">
        <f>VLOOKUP(D406,Lookups!$A$5:$E$10,3,FALSE)</f>
        <v/>
      </c>
      <c r="K406" s="25">
        <f>VLOOKUP(D406,Lookups!$A$5:$E$10,4,FALSE)</f>
        <v/>
      </c>
      <c r="L406" s="25">
        <f>E406*K406*(1-F406)</f>
        <v/>
      </c>
      <c r="M406" s="25">
        <f>L406*VLOOKUP(D406,Lookups!$A$5:$E$10,5,FALSE)</f>
        <v/>
      </c>
    </row>
    <row r="407">
      <c r="A407" s="21" t="inlineStr">
        <is>
          <t>INV-10188</t>
        </is>
      </c>
      <c r="B407" s="22" t="n">
        <v>45787</v>
      </c>
      <c r="C407" s="21" t="inlineStr">
        <is>
          <t>R01</t>
        </is>
      </c>
      <c r="D407" s="21" t="inlineStr">
        <is>
          <t>P300</t>
        </is>
      </c>
      <c r="E407" s="21" t="n">
        <v>25</v>
      </c>
      <c r="F407" s="23" t="n">
        <v>0.1</v>
      </c>
      <c r="G407" s="24">
        <f>TEXT(B407,"mmm")</f>
        <v/>
      </c>
      <c r="H407" s="24">
        <f>HLOOKUP(C407,Lookups!$H$4:$K$5,2,FALSE)</f>
        <v/>
      </c>
      <c r="I407" s="24">
        <f>VLOOKUP(D407,Lookups!$A$5:$E$10,2,FALSE)</f>
        <v/>
      </c>
      <c r="J407" s="24">
        <f>VLOOKUP(D407,Lookups!$A$5:$E$10,3,FALSE)</f>
        <v/>
      </c>
      <c r="K407" s="25">
        <f>VLOOKUP(D407,Lookups!$A$5:$E$10,4,FALSE)</f>
        <v/>
      </c>
      <c r="L407" s="25">
        <f>E407*K407*(1-F407)</f>
        <v/>
      </c>
      <c r="M407" s="25">
        <f>L407*VLOOKUP(D407,Lookups!$A$5:$E$10,5,FALSE)</f>
        <v/>
      </c>
    </row>
    <row r="408">
      <c r="A408" s="21" t="inlineStr">
        <is>
          <t>INV-10092</t>
        </is>
      </c>
      <c r="B408" s="22" t="n">
        <v>45788</v>
      </c>
      <c r="C408" s="21" t="inlineStr">
        <is>
          <t>R04</t>
        </is>
      </c>
      <c r="D408" s="21" t="inlineStr">
        <is>
          <t>P100</t>
        </is>
      </c>
      <c r="E408" s="21" t="n">
        <v>1</v>
      </c>
      <c r="F408" s="23" t="n">
        <v>0</v>
      </c>
      <c r="G408" s="24">
        <f>TEXT(B408,"mmm")</f>
        <v/>
      </c>
      <c r="H408" s="24">
        <f>HLOOKUP(C408,Lookups!$H$4:$K$5,2,FALSE)</f>
        <v/>
      </c>
      <c r="I408" s="24">
        <f>VLOOKUP(D408,Lookups!$A$5:$E$10,2,FALSE)</f>
        <v/>
      </c>
      <c r="J408" s="24">
        <f>VLOOKUP(D408,Lookups!$A$5:$E$10,3,FALSE)</f>
        <v/>
      </c>
      <c r="K408" s="25">
        <f>VLOOKUP(D408,Lookups!$A$5:$E$10,4,FALSE)</f>
        <v/>
      </c>
      <c r="L408" s="25">
        <f>E408*K408*(1-F408)</f>
        <v/>
      </c>
      <c r="M408" s="25">
        <f>L408*VLOOKUP(D408,Lookups!$A$5:$E$10,5,FALSE)</f>
        <v/>
      </c>
    </row>
    <row r="409">
      <c r="A409" s="21" t="inlineStr">
        <is>
          <t>INV-10293</t>
        </is>
      </c>
      <c r="B409" s="22" t="n">
        <v>45788</v>
      </c>
      <c r="C409" s="21" t="inlineStr">
        <is>
          <t>R03</t>
        </is>
      </c>
      <c r="D409" s="21" t="inlineStr">
        <is>
          <t>P300</t>
        </is>
      </c>
      <c r="E409" s="21" t="n">
        <v>4</v>
      </c>
      <c r="F409" s="23" t="n">
        <v>0</v>
      </c>
      <c r="G409" s="24">
        <f>TEXT(B409,"mmm")</f>
        <v/>
      </c>
      <c r="H409" s="24">
        <f>HLOOKUP(C409,Lookups!$H$4:$K$5,2,FALSE)</f>
        <v/>
      </c>
      <c r="I409" s="24">
        <f>VLOOKUP(D409,Lookups!$A$5:$E$10,2,FALSE)</f>
        <v/>
      </c>
      <c r="J409" s="24">
        <f>VLOOKUP(D409,Lookups!$A$5:$E$10,3,FALSE)</f>
        <v/>
      </c>
      <c r="K409" s="25">
        <f>VLOOKUP(D409,Lookups!$A$5:$E$10,4,FALSE)</f>
        <v/>
      </c>
      <c r="L409" s="25">
        <f>E409*K409*(1-F409)</f>
        <v/>
      </c>
      <c r="M409" s="25">
        <f>L409*VLOOKUP(D409,Lookups!$A$5:$E$10,5,FALSE)</f>
        <v/>
      </c>
    </row>
    <row r="410">
      <c r="A410" s="21" t="inlineStr">
        <is>
          <t>INV-10995</t>
        </is>
      </c>
      <c r="B410" s="22" t="n">
        <v>45788</v>
      </c>
      <c r="C410" s="21" t="inlineStr">
        <is>
          <t>R02</t>
        </is>
      </c>
      <c r="D410" s="21" t="inlineStr">
        <is>
          <t>P400</t>
        </is>
      </c>
      <c r="E410" s="21" t="n">
        <v>3</v>
      </c>
      <c r="F410" s="23" t="n">
        <v>0.05</v>
      </c>
      <c r="G410" s="24">
        <f>TEXT(B410,"mmm")</f>
        <v/>
      </c>
      <c r="H410" s="24">
        <f>HLOOKUP(C410,Lookups!$H$4:$K$5,2,FALSE)</f>
        <v/>
      </c>
      <c r="I410" s="24">
        <f>VLOOKUP(D410,Lookups!$A$5:$E$10,2,FALSE)</f>
        <v/>
      </c>
      <c r="J410" s="24">
        <f>VLOOKUP(D410,Lookups!$A$5:$E$10,3,FALSE)</f>
        <v/>
      </c>
      <c r="K410" s="25">
        <f>VLOOKUP(D410,Lookups!$A$5:$E$10,4,FALSE)</f>
        <v/>
      </c>
      <c r="L410" s="25">
        <f>E410*K410*(1-F410)</f>
        <v/>
      </c>
      <c r="M410" s="25">
        <f>L410*VLOOKUP(D410,Lookups!$A$5:$E$10,5,FALSE)</f>
        <v/>
      </c>
    </row>
    <row r="411">
      <c r="A411" s="21" t="inlineStr">
        <is>
          <t>INV-11054</t>
        </is>
      </c>
      <c r="B411" s="22" t="n">
        <v>45788</v>
      </c>
      <c r="C411" s="21" t="inlineStr">
        <is>
          <t>R01</t>
        </is>
      </c>
      <c r="D411" s="21" t="inlineStr">
        <is>
          <t>P400</t>
        </is>
      </c>
      <c r="E411" s="21" t="n">
        <v>15</v>
      </c>
      <c r="F411" s="23" t="n">
        <v>0.05</v>
      </c>
      <c r="G411" s="24">
        <f>TEXT(B411,"mmm")</f>
        <v/>
      </c>
      <c r="H411" s="24">
        <f>HLOOKUP(C411,Lookups!$H$4:$K$5,2,FALSE)</f>
        <v/>
      </c>
      <c r="I411" s="24">
        <f>VLOOKUP(D411,Lookups!$A$5:$E$10,2,FALSE)</f>
        <v/>
      </c>
      <c r="J411" s="24">
        <f>VLOOKUP(D411,Lookups!$A$5:$E$10,3,FALSE)</f>
        <v/>
      </c>
      <c r="K411" s="25">
        <f>VLOOKUP(D411,Lookups!$A$5:$E$10,4,FALSE)</f>
        <v/>
      </c>
      <c r="L411" s="25">
        <f>E411*K411*(1-F411)</f>
        <v/>
      </c>
      <c r="M411" s="25">
        <f>L411*VLOOKUP(D411,Lookups!$A$5:$E$10,5,FALSE)</f>
        <v/>
      </c>
    </row>
    <row r="412">
      <c r="A412" s="21" t="inlineStr">
        <is>
          <t>INV-10852</t>
        </is>
      </c>
      <c r="B412" s="22" t="n">
        <v>45789</v>
      </c>
      <c r="C412" s="21" t="inlineStr">
        <is>
          <t>R02</t>
        </is>
      </c>
      <c r="D412" s="21" t="inlineStr">
        <is>
          <t>P600</t>
        </is>
      </c>
      <c r="E412" s="21" t="n">
        <v>15</v>
      </c>
      <c r="F412" s="23" t="n">
        <v>0.05</v>
      </c>
      <c r="G412" s="24">
        <f>TEXT(B412,"mmm")</f>
        <v/>
      </c>
      <c r="H412" s="24">
        <f>HLOOKUP(C412,Lookups!$H$4:$K$5,2,FALSE)</f>
        <v/>
      </c>
      <c r="I412" s="24">
        <f>VLOOKUP(D412,Lookups!$A$5:$E$10,2,FALSE)</f>
        <v/>
      </c>
      <c r="J412" s="24">
        <f>VLOOKUP(D412,Lookups!$A$5:$E$10,3,FALSE)</f>
        <v/>
      </c>
      <c r="K412" s="25">
        <f>VLOOKUP(D412,Lookups!$A$5:$E$10,4,FALSE)</f>
        <v/>
      </c>
      <c r="L412" s="25">
        <f>E412*K412*(1-F412)</f>
        <v/>
      </c>
      <c r="M412" s="25">
        <f>L412*VLOOKUP(D412,Lookups!$A$5:$E$10,5,FALSE)</f>
        <v/>
      </c>
    </row>
    <row r="413">
      <c r="A413" s="21" t="inlineStr">
        <is>
          <t>INV-10796</t>
        </is>
      </c>
      <c r="B413" s="22" t="n">
        <v>45790</v>
      </c>
      <c r="C413" s="21" t="inlineStr">
        <is>
          <t>R01</t>
        </is>
      </c>
      <c r="D413" s="21" t="inlineStr">
        <is>
          <t>P600</t>
        </is>
      </c>
      <c r="E413" s="21" t="n">
        <v>10</v>
      </c>
      <c r="F413" s="23" t="n">
        <v>0</v>
      </c>
      <c r="G413" s="24">
        <f>TEXT(B413,"mmm")</f>
        <v/>
      </c>
      <c r="H413" s="24">
        <f>HLOOKUP(C413,Lookups!$H$4:$K$5,2,FALSE)</f>
        <v/>
      </c>
      <c r="I413" s="24">
        <f>VLOOKUP(D413,Lookups!$A$5:$E$10,2,FALSE)</f>
        <v/>
      </c>
      <c r="J413" s="24">
        <f>VLOOKUP(D413,Lookups!$A$5:$E$10,3,FALSE)</f>
        <v/>
      </c>
      <c r="K413" s="25">
        <f>VLOOKUP(D413,Lookups!$A$5:$E$10,4,FALSE)</f>
        <v/>
      </c>
      <c r="L413" s="25">
        <f>E413*K413*(1-F413)</f>
        <v/>
      </c>
      <c r="M413" s="25">
        <f>L413*VLOOKUP(D413,Lookups!$A$5:$E$10,5,FALSE)</f>
        <v/>
      </c>
    </row>
    <row r="414">
      <c r="A414" s="21" t="inlineStr">
        <is>
          <t>INV-10932</t>
        </is>
      </c>
      <c r="B414" s="22" t="n">
        <v>45790</v>
      </c>
      <c r="C414" s="21" t="inlineStr">
        <is>
          <t>R04</t>
        </is>
      </c>
      <c r="D414" s="21" t="inlineStr">
        <is>
          <t>P400</t>
        </is>
      </c>
      <c r="E414" s="21" t="n">
        <v>15</v>
      </c>
      <c r="F414" s="23" t="n">
        <v>0.1</v>
      </c>
      <c r="G414" s="24">
        <f>TEXT(B414,"mmm")</f>
        <v/>
      </c>
      <c r="H414" s="24">
        <f>HLOOKUP(C414,Lookups!$H$4:$K$5,2,FALSE)</f>
        <v/>
      </c>
      <c r="I414" s="24">
        <f>VLOOKUP(D414,Lookups!$A$5:$E$10,2,FALSE)</f>
        <v/>
      </c>
      <c r="J414" s="24">
        <f>VLOOKUP(D414,Lookups!$A$5:$E$10,3,FALSE)</f>
        <v/>
      </c>
      <c r="K414" s="25">
        <f>VLOOKUP(D414,Lookups!$A$5:$E$10,4,FALSE)</f>
        <v/>
      </c>
      <c r="L414" s="25">
        <f>E414*K414*(1-F414)</f>
        <v/>
      </c>
      <c r="M414" s="25">
        <f>L414*VLOOKUP(D414,Lookups!$A$5:$E$10,5,FALSE)</f>
        <v/>
      </c>
    </row>
    <row r="415">
      <c r="A415" s="21" t="inlineStr">
        <is>
          <t>INV-10063</t>
        </is>
      </c>
      <c r="B415" s="22" t="n">
        <v>45791</v>
      </c>
      <c r="C415" s="21" t="inlineStr">
        <is>
          <t>R03</t>
        </is>
      </c>
      <c r="D415" s="21" t="inlineStr">
        <is>
          <t>P200</t>
        </is>
      </c>
      <c r="E415" s="21" t="n">
        <v>8</v>
      </c>
      <c r="F415" s="23" t="n">
        <v>0.05</v>
      </c>
      <c r="G415" s="24">
        <f>TEXT(B415,"mmm")</f>
        <v/>
      </c>
      <c r="H415" s="24">
        <f>HLOOKUP(C415,Lookups!$H$4:$K$5,2,FALSE)</f>
        <v/>
      </c>
      <c r="I415" s="24">
        <f>VLOOKUP(D415,Lookups!$A$5:$E$10,2,FALSE)</f>
        <v/>
      </c>
      <c r="J415" s="24">
        <f>VLOOKUP(D415,Lookups!$A$5:$E$10,3,FALSE)</f>
        <v/>
      </c>
      <c r="K415" s="25">
        <f>VLOOKUP(D415,Lookups!$A$5:$E$10,4,FALSE)</f>
        <v/>
      </c>
      <c r="L415" s="25">
        <f>E415*K415*(1-F415)</f>
        <v/>
      </c>
      <c r="M415" s="25">
        <f>L415*VLOOKUP(D415,Lookups!$A$5:$E$10,5,FALSE)</f>
        <v/>
      </c>
    </row>
    <row r="416">
      <c r="A416" s="21" t="inlineStr">
        <is>
          <t>INV-10694</t>
        </is>
      </c>
      <c r="B416" s="22" t="n">
        <v>45791</v>
      </c>
      <c r="C416" s="21" t="inlineStr">
        <is>
          <t>R04</t>
        </is>
      </c>
      <c r="D416" s="21" t="inlineStr">
        <is>
          <t>P300</t>
        </is>
      </c>
      <c r="E416" s="21" t="n">
        <v>23</v>
      </c>
      <c r="F416" s="23" t="n">
        <v>0.05</v>
      </c>
      <c r="G416" s="24">
        <f>TEXT(B416,"mmm")</f>
        <v/>
      </c>
      <c r="H416" s="24">
        <f>HLOOKUP(C416,Lookups!$H$4:$K$5,2,FALSE)</f>
        <v/>
      </c>
      <c r="I416" s="24">
        <f>VLOOKUP(D416,Lookups!$A$5:$E$10,2,FALSE)</f>
        <v/>
      </c>
      <c r="J416" s="24">
        <f>VLOOKUP(D416,Lookups!$A$5:$E$10,3,FALSE)</f>
        <v/>
      </c>
      <c r="K416" s="25">
        <f>VLOOKUP(D416,Lookups!$A$5:$E$10,4,FALSE)</f>
        <v/>
      </c>
      <c r="L416" s="25">
        <f>E416*K416*(1-F416)</f>
        <v/>
      </c>
      <c r="M416" s="25">
        <f>L416*VLOOKUP(D416,Lookups!$A$5:$E$10,5,FALSE)</f>
        <v/>
      </c>
    </row>
    <row r="417">
      <c r="A417" s="21" t="inlineStr">
        <is>
          <t>INV-10703</t>
        </is>
      </c>
      <c r="B417" s="22" t="n">
        <v>45791</v>
      </c>
      <c r="C417" s="21" t="inlineStr">
        <is>
          <t>R01</t>
        </is>
      </c>
      <c r="D417" s="21" t="inlineStr">
        <is>
          <t>P200</t>
        </is>
      </c>
      <c r="E417" s="21" t="n">
        <v>13</v>
      </c>
      <c r="F417" s="23" t="n">
        <v>0.1</v>
      </c>
      <c r="G417" s="24">
        <f>TEXT(B417,"mmm")</f>
        <v/>
      </c>
      <c r="H417" s="24">
        <f>HLOOKUP(C417,Lookups!$H$4:$K$5,2,FALSE)</f>
        <v/>
      </c>
      <c r="I417" s="24">
        <f>VLOOKUP(D417,Lookups!$A$5:$E$10,2,FALSE)</f>
        <v/>
      </c>
      <c r="J417" s="24">
        <f>VLOOKUP(D417,Lookups!$A$5:$E$10,3,FALSE)</f>
        <v/>
      </c>
      <c r="K417" s="25">
        <f>VLOOKUP(D417,Lookups!$A$5:$E$10,4,FALSE)</f>
        <v/>
      </c>
      <c r="L417" s="25">
        <f>E417*K417*(1-F417)</f>
        <v/>
      </c>
      <c r="M417" s="25">
        <f>L417*VLOOKUP(D417,Lookups!$A$5:$E$10,5,FALSE)</f>
        <v/>
      </c>
    </row>
    <row r="418">
      <c r="A418" s="21" t="inlineStr">
        <is>
          <t>INV-10866</t>
        </is>
      </c>
      <c r="B418" s="22" t="n">
        <v>45791</v>
      </c>
      <c r="C418" s="21" t="inlineStr">
        <is>
          <t>R03</t>
        </is>
      </c>
      <c r="D418" s="21" t="inlineStr">
        <is>
          <t>P600</t>
        </is>
      </c>
      <c r="E418" s="21" t="n">
        <v>1</v>
      </c>
      <c r="F418" s="23" t="n">
        <v>0</v>
      </c>
      <c r="G418" s="24">
        <f>TEXT(B418,"mmm")</f>
        <v/>
      </c>
      <c r="H418" s="24">
        <f>HLOOKUP(C418,Lookups!$H$4:$K$5,2,FALSE)</f>
        <v/>
      </c>
      <c r="I418" s="24">
        <f>VLOOKUP(D418,Lookups!$A$5:$E$10,2,FALSE)</f>
        <v/>
      </c>
      <c r="J418" s="24">
        <f>VLOOKUP(D418,Lookups!$A$5:$E$10,3,FALSE)</f>
        <v/>
      </c>
      <c r="K418" s="25">
        <f>VLOOKUP(D418,Lookups!$A$5:$E$10,4,FALSE)</f>
        <v/>
      </c>
      <c r="L418" s="25">
        <f>E418*K418*(1-F418)</f>
        <v/>
      </c>
      <c r="M418" s="25">
        <f>L418*VLOOKUP(D418,Lookups!$A$5:$E$10,5,FALSE)</f>
        <v/>
      </c>
    </row>
    <row r="419">
      <c r="A419" s="21" t="inlineStr">
        <is>
          <t>INV-11055</t>
        </is>
      </c>
      <c r="B419" s="22" t="n">
        <v>45791</v>
      </c>
      <c r="C419" s="21" t="inlineStr">
        <is>
          <t>R03</t>
        </is>
      </c>
      <c r="D419" s="21" t="inlineStr">
        <is>
          <t>P300</t>
        </is>
      </c>
      <c r="E419" s="21" t="n">
        <v>18</v>
      </c>
      <c r="F419" s="23" t="n">
        <v>0.05</v>
      </c>
      <c r="G419" s="24">
        <f>TEXT(B419,"mmm")</f>
        <v/>
      </c>
      <c r="H419" s="24">
        <f>HLOOKUP(C419,Lookups!$H$4:$K$5,2,FALSE)</f>
        <v/>
      </c>
      <c r="I419" s="24">
        <f>VLOOKUP(D419,Lookups!$A$5:$E$10,2,FALSE)</f>
        <v/>
      </c>
      <c r="J419" s="24">
        <f>VLOOKUP(D419,Lookups!$A$5:$E$10,3,FALSE)</f>
        <v/>
      </c>
      <c r="K419" s="25">
        <f>VLOOKUP(D419,Lookups!$A$5:$E$10,4,FALSE)</f>
        <v/>
      </c>
      <c r="L419" s="25">
        <f>E419*K419*(1-F419)</f>
        <v/>
      </c>
      <c r="M419" s="25">
        <f>L419*VLOOKUP(D419,Lookups!$A$5:$E$10,5,FALSE)</f>
        <v/>
      </c>
    </row>
    <row r="420">
      <c r="A420" s="21" t="inlineStr">
        <is>
          <t>INV-10382</t>
        </is>
      </c>
      <c r="B420" s="22" t="n">
        <v>45792</v>
      </c>
      <c r="C420" s="21" t="inlineStr">
        <is>
          <t>R04</t>
        </is>
      </c>
      <c r="D420" s="21" t="inlineStr">
        <is>
          <t>P300</t>
        </is>
      </c>
      <c r="E420" s="21" t="n">
        <v>7</v>
      </c>
      <c r="F420" s="23" t="n">
        <v>0.05</v>
      </c>
      <c r="G420" s="24">
        <f>TEXT(B420,"mmm")</f>
        <v/>
      </c>
      <c r="H420" s="24">
        <f>HLOOKUP(C420,Lookups!$H$4:$K$5,2,FALSE)</f>
        <v/>
      </c>
      <c r="I420" s="24">
        <f>VLOOKUP(D420,Lookups!$A$5:$E$10,2,FALSE)</f>
        <v/>
      </c>
      <c r="J420" s="24">
        <f>VLOOKUP(D420,Lookups!$A$5:$E$10,3,FALSE)</f>
        <v/>
      </c>
      <c r="K420" s="25">
        <f>VLOOKUP(D420,Lookups!$A$5:$E$10,4,FALSE)</f>
        <v/>
      </c>
      <c r="L420" s="25">
        <f>E420*K420*(1-F420)</f>
        <v/>
      </c>
      <c r="M420" s="25">
        <f>L420*VLOOKUP(D420,Lookups!$A$5:$E$10,5,FALSE)</f>
        <v/>
      </c>
    </row>
    <row r="421">
      <c r="A421" s="21" t="inlineStr">
        <is>
          <t>INV-10596</t>
        </is>
      </c>
      <c r="B421" s="22" t="n">
        <v>45792</v>
      </c>
      <c r="C421" s="21" t="inlineStr">
        <is>
          <t>R04</t>
        </is>
      </c>
      <c r="D421" s="21" t="inlineStr">
        <is>
          <t>P600</t>
        </is>
      </c>
      <c r="E421" s="21" t="n">
        <v>17</v>
      </c>
      <c r="F421" s="23" t="n">
        <v>0.05</v>
      </c>
      <c r="G421" s="24">
        <f>TEXT(B421,"mmm")</f>
        <v/>
      </c>
      <c r="H421" s="24">
        <f>HLOOKUP(C421,Lookups!$H$4:$K$5,2,FALSE)</f>
        <v/>
      </c>
      <c r="I421" s="24">
        <f>VLOOKUP(D421,Lookups!$A$5:$E$10,2,FALSE)</f>
        <v/>
      </c>
      <c r="J421" s="24">
        <f>VLOOKUP(D421,Lookups!$A$5:$E$10,3,FALSE)</f>
        <v/>
      </c>
      <c r="K421" s="25">
        <f>VLOOKUP(D421,Lookups!$A$5:$E$10,4,FALSE)</f>
        <v/>
      </c>
      <c r="L421" s="25">
        <f>E421*K421*(1-F421)</f>
        <v/>
      </c>
      <c r="M421" s="25">
        <f>L421*VLOOKUP(D421,Lookups!$A$5:$E$10,5,FALSE)</f>
        <v/>
      </c>
    </row>
    <row r="422">
      <c r="A422" s="21" t="inlineStr">
        <is>
          <t>INV-10764</t>
        </is>
      </c>
      <c r="B422" s="22" t="n">
        <v>45792</v>
      </c>
      <c r="C422" s="21" t="inlineStr">
        <is>
          <t>R03</t>
        </is>
      </c>
      <c r="D422" s="21" t="inlineStr">
        <is>
          <t>P200</t>
        </is>
      </c>
      <c r="E422" s="21" t="n">
        <v>19</v>
      </c>
      <c r="F422" s="23" t="n">
        <v>0</v>
      </c>
      <c r="G422" s="24">
        <f>TEXT(B422,"mmm")</f>
        <v/>
      </c>
      <c r="H422" s="24">
        <f>HLOOKUP(C422,Lookups!$H$4:$K$5,2,FALSE)</f>
        <v/>
      </c>
      <c r="I422" s="24">
        <f>VLOOKUP(D422,Lookups!$A$5:$E$10,2,FALSE)</f>
        <v/>
      </c>
      <c r="J422" s="24">
        <f>VLOOKUP(D422,Lookups!$A$5:$E$10,3,FALSE)</f>
        <v/>
      </c>
      <c r="K422" s="25">
        <f>VLOOKUP(D422,Lookups!$A$5:$E$10,4,FALSE)</f>
        <v/>
      </c>
      <c r="L422" s="25">
        <f>E422*K422*(1-F422)</f>
        <v/>
      </c>
      <c r="M422" s="25">
        <f>L422*VLOOKUP(D422,Lookups!$A$5:$E$10,5,FALSE)</f>
        <v/>
      </c>
    </row>
    <row r="423">
      <c r="A423" s="21" t="inlineStr">
        <is>
          <t>INV-10847</t>
        </is>
      </c>
      <c r="B423" s="22" t="n">
        <v>45792</v>
      </c>
      <c r="C423" s="21" t="inlineStr">
        <is>
          <t>R02</t>
        </is>
      </c>
      <c r="D423" s="21" t="inlineStr">
        <is>
          <t>P500</t>
        </is>
      </c>
      <c r="E423" s="21" t="n">
        <v>12</v>
      </c>
      <c r="F423" s="23" t="n">
        <v>0.1</v>
      </c>
      <c r="G423" s="24">
        <f>TEXT(B423,"mmm")</f>
        <v/>
      </c>
      <c r="H423" s="24">
        <f>HLOOKUP(C423,Lookups!$H$4:$K$5,2,FALSE)</f>
        <v/>
      </c>
      <c r="I423" s="24">
        <f>VLOOKUP(D423,Lookups!$A$5:$E$10,2,FALSE)</f>
        <v/>
      </c>
      <c r="J423" s="24">
        <f>VLOOKUP(D423,Lookups!$A$5:$E$10,3,FALSE)</f>
        <v/>
      </c>
      <c r="K423" s="25">
        <f>VLOOKUP(D423,Lookups!$A$5:$E$10,4,FALSE)</f>
        <v/>
      </c>
      <c r="L423" s="25">
        <f>E423*K423*(1-F423)</f>
        <v/>
      </c>
      <c r="M423" s="25">
        <f>L423*VLOOKUP(D423,Lookups!$A$5:$E$10,5,FALSE)</f>
        <v/>
      </c>
    </row>
    <row r="424">
      <c r="A424" s="21" t="inlineStr">
        <is>
          <t>INV-10971</t>
        </is>
      </c>
      <c r="B424" s="22" t="n">
        <v>45792</v>
      </c>
      <c r="C424" s="21" t="inlineStr">
        <is>
          <t>R02</t>
        </is>
      </c>
      <c r="D424" s="21" t="inlineStr">
        <is>
          <t>P500</t>
        </is>
      </c>
      <c r="E424" s="21" t="n">
        <v>13</v>
      </c>
      <c r="F424" s="23" t="n">
        <v>0.1</v>
      </c>
      <c r="G424" s="24">
        <f>TEXT(B424,"mmm")</f>
        <v/>
      </c>
      <c r="H424" s="24">
        <f>HLOOKUP(C424,Lookups!$H$4:$K$5,2,FALSE)</f>
        <v/>
      </c>
      <c r="I424" s="24">
        <f>VLOOKUP(D424,Lookups!$A$5:$E$10,2,FALSE)</f>
        <v/>
      </c>
      <c r="J424" s="24">
        <f>VLOOKUP(D424,Lookups!$A$5:$E$10,3,FALSE)</f>
        <v/>
      </c>
      <c r="K424" s="25">
        <f>VLOOKUP(D424,Lookups!$A$5:$E$10,4,FALSE)</f>
        <v/>
      </c>
      <c r="L424" s="25">
        <f>E424*K424*(1-F424)</f>
        <v/>
      </c>
      <c r="M424" s="25">
        <f>L424*VLOOKUP(D424,Lookups!$A$5:$E$10,5,FALSE)</f>
        <v/>
      </c>
    </row>
    <row r="425">
      <c r="A425" s="21" t="inlineStr">
        <is>
          <t>INV-11009</t>
        </is>
      </c>
      <c r="B425" s="22" t="n">
        <v>45792</v>
      </c>
      <c r="C425" s="21" t="inlineStr">
        <is>
          <t>R03</t>
        </is>
      </c>
      <c r="D425" s="21" t="inlineStr">
        <is>
          <t>P200</t>
        </is>
      </c>
      <c r="E425" s="21" t="n">
        <v>3</v>
      </c>
      <c r="F425" s="23" t="n">
        <v>0</v>
      </c>
      <c r="G425" s="24">
        <f>TEXT(B425,"mmm")</f>
        <v/>
      </c>
      <c r="H425" s="24">
        <f>HLOOKUP(C425,Lookups!$H$4:$K$5,2,FALSE)</f>
        <v/>
      </c>
      <c r="I425" s="24">
        <f>VLOOKUP(D425,Lookups!$A$5:$E$10,2,FALSE)</f>
        <v/>
      </c>
      <c r="J425" s="24">
        <f>VLOOKUP(D425,Lookups!$A$5:$E$10,3,FALSE)</f>
        <v/>
      </c>
      <c r="K425" s="25">
        <f>VLOOKUP(D425,Lookups!$A$5:$E$10,4,FALSE)</f>
        <v/>
      </c>
      <c r="L425" s="25">
        <f>E425*K425*(1-F425)</f>
        <v/>
      </c>
      <c r="M425" s="25">
        <f>L425*VLOOKUP(D425,Lookups!$A$5:$E$10,5,FALSE)</f>
        <v/>
      </c>
    </row>
    <row r="426">
      <c r="A426" s="21" t="inlineStr">
        <is>
          <t>INV-11085</t>
        </is>
      </c>
      <c r="B426" s="22" t="n">
        <v>45792</v>
      </c>
      <c r="C426" s="21" t="inlineStr">
        <is>
          <t>R04</t>
        </is>
      </c>
      <c r="D426" s="21" t="inlineStr">
        <is>
          <t>P100</t>
        </is>
      </c>
      <c r="E426" s="21" t="n">
        <v>21</v>
      </c>
      <c r="F426" s="23" t="n">
        <v>0</v>
      </c>
      <c r="G426" s="24">
        <f>TEXT(B426,"mmm")</f>
        <v/>
      </c>
      <c r="H426" s="24">
        <f>HLOOKUP(C426,Lookups!$H$4:$K$5,2,FALSE)</f>
        <v/>
      </c>
      <c r="I426" s="24">
        <f>VLOOKUP(D426,Lookups!$A$5:$E$10,2,FALSE)</f>
        <v/>
      </c>
      <c r="J426" s="24">
        <f>VLOOKUP(D426,Lookups!$A$5:$E$10,3,FALSE)</f>
        <v/>
      </c>
      <c r="K426" s="25">
        <f>VLOOKUP(D426,Lookups!$A$5:$E$10,4,FALSE)</f>
        <v/>
      </c>
      <c r="L426" s="25">
        <f>E426*K426*(1-F426)</f>
        <v/>
      </c>
      <c r="M426" s="25">
        <f>L426*VLOOKUP(D426,Lookups!$A$5:$E$10,5,FALSE)</f>
        <v/>
      </c>
    </row>
    <row r="427">
      <c r="A427" s="21" t="inlineStr">
        <is>
          <t>INV-10174</t>
        </is>
      </c>
      <c r="B427" s="22" t="n">
        <v>45793</v>
      </c>
      <c r="C427" s="21" t="inlineStr">
        <is>
          <t>R02</t>
        </is>
      </c>
      <c r="D427" s="21" t="inlineStr">
        <is>
          <t>P600</t>
        </is>
      </c>
      <c r="E427" s="21" t="n">
        <v>14</v>
      </c>
      <c r="F427" s="23" t="n">
        <v>0</v>
      </c>
      <c r="G427" s="24">
        <f>TEXT(B427,"mmm")</f>
        <v/>
      </c>
      <c r="H427" s="24">
        <f>HLOOKUP(C427,Lookups!$H$4:$K$5,2,FALSE)</f>
        <v/>
      </c>
      <c r="I427" s="24">
        <f>VLOOKUP(D427,Lookups!$A$5:$E$10,2,FALSE)</f>
        <v/>
      </c>
      <c r="J427" s="24">
        <f>VLOOKUP(D427,Lookups!$A$5:$E$10,3,FALSE)</f>
        <v/>
      </c>
      <c r="K427" s="25">
        <f>VLOOKUP(D427,Lookups!$A$5:$E$10,4,FALSE)</f>
        <v/>
      </c>
      <c r="L427" s="25">
        <f>E427*K427*(1-F427)</f>
        <v/>
      </c>
      <c r="M427" s="25">
        <f>L427*VLOOKUP(D427,Lookups!$A$5:$E$10,5,FALSE)</f>
        <v/>
      </c>
    </row>
    <row r="428">
      <c r="A428" s="21" t="inlineStr">
        <is>
          <t>INV-10210</t>
        </is>
      </c>
      <c r="B428" s="22" t="n">
        <v>45793</v>
      </c>
      <c r="C428" s="21" t="inlineStr">
        <is>
          <t>R04</t>
        </is>
      </c>
      <c r="D428" s="21" t="inlineStr">
        <is>
          <t>P300</t>
        </is>
      </c>
      <c r="E428" s="21" t="n">
        <v>21</v>
      </c>
      <c r="F428" s="23" t="n">
        <v>0</v>
      </c>
      <c r="G428" s="24">
        <f>TEXT(B428,"mmm")</f>
        <v/>
      </c>
      <c r="H428" s="24">
        <f>HLOOKUP(C428,Lookups!$H$4:$K$5,2,FALSE)</f>
        <v/>
      </c>
      <c r="I428" s="24">
        <f>VLOOKUP(D428,Lookups!$A$5:$E$10,2,FALSE)</f>
        <v/>
      </c>
      <c r="J428" s="24">
        <f>VLOOKUP(D428,Lookups!$A$5:$E$10,3,FALSE)</f>
        <v/>
      </c>
      <c r="K428" s="25">
        <f>VLOOKUP(D428,Lookups!$A$5:$E$10,4,FALSE)</f>
        <v/>
      </c>
      <c r="L428" s="25">
        <f>E428*K428*(1-F428)</f>
        <v/>
      </c>
      <c r="M428" s="25">
        <f>L428*VLOOKUP(D428,Lookups!$A$5:$E$10,5,FALSE)</f>
        <v/>
      </c>
    </row>
    <row r="429">
      <c r="A429" s="21" t="inlineStr">
        <is>
          <t>INV-10238</t>
        </is>
      </c>
      <c r="B429" s="22" t="n">
        <v>45793</v>
      </c>
      <c r="C429" s="21" t="inlineStr">
        <is>
          <t>R01</t>
        </is>
      </c>
      <c r="D429" s="21" t="inlineStr">
        <is>
          <t>P500</t>
        </is>
      </c>
      <c r="E429" s="21" t="n">
        <v>15</v>
      </c>
      <c r="F429" s="23" t="n">
        <v>0.05</v>
      </c>
      <c r="G429" s="24">
        <f>TEXT(B429,"mmm")</f>
        <v/>
      </c>
      <c r="H429" s="24">
        <f>HLOOKUP(C429,Lookups!$H$4:$K$5,2,FALSE)</f>
        <v/>
      </c>
      <c r="I429" s="24">
        <f>VLOOKUP(D429,Lookups!$A$5:$E$10,2,FALSE)</f>
        <v/>
      </c>
      <c r="J429" s="24">
        <f>VLOOKUP(D429,Lookups!$A$5:$E$10,3,FALSE)</f>
        <v/>
      </c>
      <c r="K429" s="25">
        <f>VLOOKUP(D429,Lookups!$A$5:$E$10,4,FALSE)</f>
        <v/>
      </c>
      <c r="L429" s="25">
        <f>E429*K429*(1-F429)</f>
        <v/>
      </c>
      <c r="M429" s="25">
        <f>L429*VLOOKUP(D429,Lookups!$A$5:$E$10,5,FALSE)</f>
        <v/>
      </c>
    </row>
    <row r="430">
      <c r="A430" s="21" t="inlineStr">
        <is>
          <t>INV-10853</t>
        </is>
      </c>
      <c r="B430" s="22" t="n">
        <v>45793</v>
      </c>
      <c r="C430" s="21" t="inlineStr">
        <is>
          <t>R01</t>
        </is>
      </c>
      <c r="D430" s="21" t="inlineStr">
        <is>
          <t>P400</t>
        </is>
      </c>
      <c r="E430" s="21" t="n">
        <v>4</v>
      </c>
      <c r="F430" s="23" t="n">
        <v>0</v>
      </c>
      <c r="G430" s="24">
        <f>TEXT(B430,"mmm")</f>
        <v/>
      </c>
      <c r="H430" s="24">
        <f>HLOOKUP(C430,Lookups!$H$4:$K$5,2,FALSE)</f>
        <v/>
      </c>
      <c r="I430" s="24">
        <f>VLOOKUP(D430,Lookups!$A$5:$E$10,2,FALSE)</f>
        <v/>
      </c>
      <c r="J430" s="24">
        <f>VLOOKUP(D430,Lookups!$A$5:$E$10,3,FALSE)</f>
        <v/>
      </c>
      <c r="K430" s="25">
        <f>VLOOKUP(D430,Lookups!$A$5:$E$10,4,FALSE)</f>
        <v/>
      </c>
      <c r="L430" s="25">
        <f>E430*K430*(1-F430)</f>
        <v/>
      </c>
      <c r="M430" s="25">
        <f>L430*VLOOKUP(D430,Lookups!$A$5:$E$10,5,FALSE)</f>
        <v/>
      </c>
    </row>
    <row r="431">
      <c r="A431" s="21" t="inlineStr">
        <is>
          <t>INV-10084</t>
        </is>
      </c>
      <c r="B431" s="22" t="n">
        <v>45794</v>
      </c>
      <c r="C431" s="21" t="inlineStr">
        <is>
          <t>R01</t>
        </is>
      </c>
      <c r="D431" s="21" t="inlineStr">
        <is>
          <t>P200</t>
        </is>
      </c>
      <c r="E431" s="21" t="n">
        <v>13</v>
      </c>
      <c r="F431" s="23" t="n">
        <v>0</v>
      </c>
      <c r="G431" s="24">
        <f>TEXT(B431,"mmm")</f>
        <v/>
      </c>
      <c r="H431" s="24">
        <f>HLOOKUP(C431,Lookups!$H$4:$K$5,2,FALSE)</f>
        <v/>
      </c>
      <c r="I431" s="24">
        <f>VLOOKUP(D431,Lookups!$A$5:$E$10,2,FALSE)</f>
        <v/>
      </c>
      <c r="J431" s="24">
        <f>VLOOKUP(D431,Lookups!$A$5:$E$10,3,FALSE)</f>
        <v/>
      </c>
      <c r="K431" s="25">
        <f>VLOOKUP(D431,Lookups!$A$5:$E$10,4,FALSE)</f>
        <v/>
      </c>
      <c r="L431" s="25">
        <f>E431*K431*(1-F431)</f>
        <v/>
      </c>
      <c r="M431" s="25">
        <f>L431*VLOOKUP(D431,Lookups!$A$5:$E$10,5,FALSE)</f>
        <v/>
      </c>
    </row>
    <row r="432">
      <c r="A432" s="21" t="inlineStr">
        <is>
          <t>INV-10786</t>
        </is>
      </c>
      <c r="B432" s="22" t="n">
        <v>45795</v>
      </c>
      <c r="C432" s="21" t="inlineStr">
        <is>
          <t>R04</t>
        </is>
      </c>
      <c r="D432" s="21" t="inlineStr">
        <is>
          <t>P600</t>
        </is>
      </c>
      <c r="E432" s="21" t="n">
        <v>20</v>
      </c>
      <c r="F432" s="23" t="n">
        <v>0</v>
      </c>
      <c r="G432" s="24">
        <f>TEXT(B432,"mmm")</f>
        <v/>
      </c>
      <c r="H432" s="24">
        <f>HLOOKUP(C432,Lookups!$H$4:$K$5,2,FALSE)</f>
        <v/>
      </c>
      <c r="I432" s="24">
        <f>VLOOKUP(D432,Lookups!$A$5:$E$10,2,FALSE)</f>
        <v/>
      </c>
      <c r="J432" s="24">
        <f>VLOOKUP(D432,Lookups!$A$5:$E$10,3,FALSE)</f>
        <v/>
      </c>
      <c r="K432" s="25">
        <f>VLOOKUP(D432,Lookups!$A$5:$E$10,4,FALSE)</f>
        <v/>
      </c>
      <c r="L432" s="25">
        <f>E432*K432*(1-F432)</f>
        <v/>
      </c>
      <c r="M432" s="25">
        <f>L432*VLOOKUP(D432,Lookups!$A$5:$E$10,5,FALSE)</f>
        <v/>
      </c>
    </row>
    <row r="433">
      <c r="A433" s="21" t="inlineStr">
        <is>
          <t>INV-10799</t>
        </is>
      </c>
      <c r="B433" s="22" t="n">
        <v>45795</v>
      </c>
      <c r="C433" s="21" t="inlineStr">
        <is>
          <t>R04</t>
        </is>
      </c>
      <c r="D433" s="21" t="inlineStr">
        <is>
          <t>P600</t>
        </is>
      </c>
      <c r="E433" s="21" t="n">
        <v>17</v>
      </c>
      <c r="F433" s="23" t="n">
        <v>0</v>
      </c>
      <c r="G433" s="24">
        <f>TEXT(B433,"mmm")</f>
        <v/>
      </c>
      <c r="H433" s="24">
        <f>HLOOKUP(C433,Lookups!$H$4:$K$5,2,FALSE)</f>
        <v/>
      </c>
      <c r="I433" s="24">
        <f>VLOOKUP(D433,Lookups!$A$5:$E$10,2,FALSE)</f>
        <v/>
      </c>
      <c r="J433" s="24">
        <f>VLOOKUP(D433,Lookups!$A$5:$E$10,3,FALSE)</f>
        <v/>
      </c>
      <c r="K433" s="25">
        <f>VLOOKUP(D433,Lookups!$A$5:$E$10,4,FALSE)</f>
        <v/>
      </c>
      <c r="L433" s="25">
        <f>E433*K433*(1-F433)</f>
        <v/>
      </c>
      <c r="M433" s="25">
        <f>L433*VLOOKUP(D433,Lookups!$A$5:$E$10,5,FALSE)</f>
        <v/>
      </c>
    </row>
    <row r="434">
      <c r="A434" s="21" t="inlineStr">
        <is>
          <t>INV-10154</t>
        </is>
      </c>
      <c r="B434" s="22" t="n">
        <v>45796</v>
      </c>
      <c r="C434" s="21" t="inlineStr">
        <is>
          <t>R03</t>
        </is>
      </c>
      <c r="D434" s="21" t="inlineStr">
        <is>
          <t>P300</t>
        </is>
      </c>
      <c r="E434" s="21" t="n">
        <v>8</v>
      </c>
      <c r="F434" s="23" t="n">
        <v>0</v>
      </c>
      <c r="G434" s="24">
        <f>TEXT(B434,"mmm")</f>
        <v/>
      </c>
      <c r="H434" s="24">
        <f>HLOOKUP(C434,Lookups!$H$4:$K$5,2,FALSE)</f>
        <v/>
      </c>
      <c r="I434" s="24">
        <f>VLOOKUP(D434,Lookups!$A$5:$E$10,2,FALSE)</f>
        <v/>
      </c>
      <c r="J434" s="24">
        <f>VLOOKUP(D434,Lookups!$A$5:$E$10,3,FALSE)</f>
        <v/>
      </c>
      <c r="K434" s="25">
        <f>VLOOKUP(D434,Lookups!$A$5:$E$10,4,FALSE)</f>
        <v/>
      </c>
      <c r="L434" s="25">
        <f>E434*K434*(1-F434)</f>
        <v/>
      </c>
      <c r="M434" s="25">
        <f>L434*VLOOKUP(D434,Lookups!$A$5:$E$10,5,FALSE)</f>
        <v/>
      </c>
    </row>
    <row r="435">
      <c r="A435" s="21" t="inlineStr">
        <is>
          <t>INV-11064</t>
        </is>
      </c>
      <c r="B435" s="22" t="n">
        <v>45796</v>
      </c>
      <c r="C435" s="21" t="inlineStr">
        <is>
          <t>R03</t>
        </is>
      </c>
      <c r="D435" s="21" t="inlineStr">
        <is>
          <t>P400</t>
        </is>
      </c>
      <c r="E435" s="21" t="n">
        <v>24</v>
      </c>
      <c r="F435" s="23" t="n">
        <v>0.1</v>
      </c>
      <c r="G435" s="24">
        <f>TEXT(B435,"mmm")</f>
        <v/>
      </c>
      <c r="H435" s="24">
        <f>HLOOKUP(C435,Lookups!$H$4:$K$5,2,FALSE)</f>
        <v/>
      </c>
      <c r="I435" s="24">
        <f>VLOOKUP(D435,Lookups!$A$5:$E$10,2,FALSE)</f>
        <v/>
      </c>
      <c r="J435" s="24">
        <f>VLOOKUP(D435,Lookups!$A$5:$E$10,3,FALSE)</f>
        <v/>
      </c>
      <c r="K435" s="25">
        <f>VLOOKUP(D435,Lookups!$A$5:$E$10,4,FALSE)</f>
        <v/>
      </c>
      <c r="L435" s="25">
        <f>E435*K435*(1-F435)</f>
        <v/>
      </c>
      <c r="M435" s="25">
        <f>L435*VLOOKUP(D435,Lookups!$A$5:$E$10,5,FALSE)</f>
        <v/>
      </c>
    </row>
    <row r="436">
      <c r="A436" s="21" t="inlineStr">
        <is>
          <t>INV-10122</t>
        </is>
      </c>
      <c r="B436" s="22" t="n">
        <v>45797</v>
      </c>
      <c r="C436" s="21" t="inlineStr">
        <is>
          <t>R04</t>
        </is>
      </c>
      <c r="D436" s="21" t="inlineStr">
        <is>
          <t>P400</t>
        </is>
      </c>
      <c r="E436" s="21" t="n">
        <v>1</v>
      </c>
      <c r="F436" s="23" t="n">
        <v>0.1</v>
      </c>
      <c r="G436" s="24">
        <f>TEXT(B436,"mmm")</f>
        <v/>
      </c>
      <c r="H436" s="24">
        <f>HLOOKUP(C436,Lookups!$H$4:$K$5,2,FALSE)</f>
        <v/>
      </c>
      <c r="I436" s="24">
        <f>VLOOKUP(D436,Lookups!$A$5:$E$10,2,FALSE)</f>
        <v/>
      </c>
      <c r="J436" s="24">
        <f>VLOOKUP(D436,Lookups!$A$5:$E$10,3,FALSE)</f>
        <v/>
      </c>
      <c r="K436" s="25">
        <f>VLOOKUP(D436,Lookups!$A$5:$E$10,4,FALSE)</f>
        <v/>
      </c>
      <c r="L436" s="25">
        <f>E436*K436*(1-F436)</f>
        <v/>
      </c>
      <c r="M436" s="25">
        <f>L436*VLOOKUP(D436,Lookups!$A$5:$E$10,5,FALSE)</f>
        <v/>
      </c>
    </row>
    <row r="437">
      <c r="A437" s="21" t="inlineStr">
        <is>
          <t>INV-10281</t>
        </is>
      </c>
      <c r="B437" s="22" t="n">
        <v>45797</v>
      </c>
      <c r="C437" s="21" t="inlineStr">
        <is>
          <t>R03</t>
        </is>
      </c>
      <c r="D437" s="21" t="inlineStr">
        <is>
          <t>P600</t>
        </is>
      </c>
      <c r="E437" s="21" t="n">
        <v>11</v>
      </c>
      <c r="F437" s="23" t="n">
        <v>0.05</v>
      </c>
      <c r="G437" s="24">
        <f>TEXT(B437,"mmm")</f>
        <v/>
      </c>
      <c r="H437" s="24">
        <f>HLOOKUP(C437,Lookups!$H$4:$K$5,2,FALSE)</f>
        <v/>
      </c>
      <c r="I437" s="24">
        <f>VLOOKUP(D437,Lookups!$A$5:$E$10,2,FALSE)</f>
        <v/>
      </c>
      <c r="J437" s="24">
        <f>VLOOKUP(D437,Lookups!$A$5:$E$10,3,FALSE)</f>
        <v/>
      </c>
      <c r="K437" s="25">
        <f>VLOOKUP(D437,Lookups!$A$5:$E$10,4,FALSE)</f>
        <v/>
      </c>
      <c r="L437" s="25">
        <f>E437*K437*(1-F437)</f>
        <v/>
      </c>
      <c r="M437" s="25">
        <f>L437*VLOOKUP(D437,Lookups!$A$5:$E$10,5,FALSE)</f>
        <v/>
      </c>
    </row>
    <row r="438">
      <c r="A438" s="21" t="inlineStr">
        <is>
          <t>INV-10365</t>
        </is>
      </c>
      <c r="B438" s="22" t="n">
        <v>45797</v>
      </c>
      <c r="C438" s="21" t="inlineStr">
        <is>
          <t>R03</t>
        </is>
      </c>
      <c r="D438" s="21" t="inlineStr">
        <is>
          <t>P100</t>
        </is>
      </c>
      <c r="E438" s="21" t="n">
        <v>14</v>
      </c>
      <c r="F438" s="23" t="n">
        <v>0.1</v>
      </c>
      <c r="G438" s="24">
        <f>TEXT(B438,"mmm")</f>
        <v/>
      </c>
      <c r="H438" s="24">
        <f>HLOOKUP(C438,Lookups!$H$4:$K$5,2,FALSE)</f>
        <v/>
      </c>
      <c r="I438" s="24">
        <f>VLOOKUP(D438,Lookups!$A$5:$E$10,2,FALSE)</f>
        <v/>
      </c>
      <c r="J438" s="24">
        <f>VLOOKUP(D438,Lookups!$A$5:$E$10,3,FALSE)</f>
        <v/>
      </c>
      <c r="K438" s="25">
        <f>VLOOKUP(D438,Lookups!$A$5:$E$10,4,FALSE)</f>
        <v/>
      </c>
      <c r="L438" s="25">
        <f>E438*K438*(1-F438)</f>
        <v/>
      </c>
      <c r="M438" s="25">
        <f>L438*VLOOKUP(D438,Lookups!$A$5:$E$10,5,FALSE)</f>
        <v/>
      </c>
    </row>
    <row r="439">
      <c r="A439" s="21" t="inlineStr">
        <is>
          <t>INV-10459</t>
        </is>
      </c>
      <c r="B439" s="22" t="n">
        <v>45797</v>
      </c>
      <c r="C439" s="21" t="inlineStr">
        <is>
          <t>R01</t>
        </is>
      </c>
      <c r="D439" s="21" t="inlineStr">
        <is>
          <t>P200</t>
        </is>
      </c>
      <c r="E439" s="21" t="n">
        <v>11</v>
      </c>
      <c r="F439" s="23" t="n">
        <v>0</v>
      </c>
      <c r="G439" s="24">
        <f>TEXT(B439,"mmm")</f>
        <v/>
      </c>
      <c r="H439" s="24">
        <f>HLOOKUP(C439,Lookups!$H$4:$K$5,2,FALSE)</f>
        <v/>
      </c>
      <c r="I439" s="24">
        <f>VLOOKUP(D439,Lookups!$A$5:$E$10,2,FALSE)</f>
        <v/>
      </c>
      <c r="J439" s="24">
        <f>VLOOKUP(D439,Lookups!$A$5:$E$10,3,FALSE)</f>
        <v/>
      </c>
      <c r="K439" s="25">
        <f>VLOOKUP(D439,Lookups!$A$5:$E$10,4,FALSE)</f>
        <v/>
      </c>
      <c r="L439" s="25">
        <f>E439*K439*(1-F439)</f>
        <v/>
      </c>
      <c r="M439" s="25">
        <f>L439*VLOOKUP(D439,Lookups!$A$5:$E$10,5,FALSE)</f>
        <v/>
      </c>
    </row>
    <row r="440">
      <c r="A440" s="21" t="inlineStr">
        <is>
          <t>INV-11089</t>
        </is>
      </c>
      <c r="B440" s="22" t="n">
        <v>45797</v>
      </c>
      <c r="C440" s="21" t="inlineStr">
        <is>
          <t>R04</t>
        </is>
      </c>
      <c r="D440" s="21" t="inlineStr">
        <is>
          <t>P600</t>
        </is>
      </c>
      <c r="E440" s="21" t="n">
        <v>7</v>
      </c>
      <c r="F440" s="23" t="n">
        <v>0.05</v>
      </c>
      <c r="G440" s="24">
        <f>TEXT(B440,"mmm")</f>
        <v/>
      </c>
      <c r="H440" s="24">
        <f>HLOOKUP(C440,Lookups!$H$4:$K$5,2,FALSE)</f>
        <v/>
      </c>
      <c r="I440" s="24">
        <f>VLOOKUP(D440,Lookups!$A$5:$E$10,2,FALSE)</f>
        <v/>
      </c>
      <c r="J440" s="24">
        <f>VLOOKUP(D440,Lookups!$A$5:$E$10,3,FALSE)</f>
        <v/>
      </c>
      <c r="K440" s="25">
        <f>VLOOKUP(D440,Lookups!$A$5:$E$10,4,FALSE)</f>
        <v/>
      </c>
      <c r="L440" s="25">
        <f>E440*K440*(1-F440)</f>
        <v/>
      </c>
      <c r="M440" s="25">
        <f>L440*VLOOKUP(D440,Lookups!$A$5:$E$10,5,FALSE)</f>
        <v/>
      </c>
    </row>
    <row r="441">
      <c r="A441" s="21" t="inlineStr">
        <is>
          <t>INV-10159</t>
        </is>
      </c>
      <c r="B441" s="22" t="n">
        <v>45798</v>
      </c>
      <c r="C441" s="21" t="inlineStr">
        <is>
          <t>R01</t>
        </is>
      </c>
      <c r="D441" s="21" t="inlineStr">
        <is>
          <t>P100</t>
        </is>
      </c>
      <c r="E441" s="21" t="n">
        <v>18</v>
      </c>
      <c r="F441" s="23" t="n">
        <v>0.05</v>
      </c>
      <c r="G441" s="24">
        <f>TEXT(B441,"mmm")</f>
        <v/>
      </c>
      <c r="H441" s="24">
        <f>HLOOKUP(C441,Lookups!$H$4:$K$5,2,FALSE)</f>
        <v/>
      </c>
      <c r="I441" s="24">
        <f>VLOOKUP(D441,Lookups!$A$5:$E$10,2,FALSE)</f>
        <v/>
      </c>
      <c r="J441" s="24">
        <f>VLOOKUP(D441,Lookups!$A$5:$E$10,3,FALSE)</f>
        <v/>
      </c>
      <c r="K441" s="25">
        <f>VLOOKUP(D441,Lookups!$A$5:$E$10,4,FALSE)</f>
        <v/>
      </c>
      <c r="L441" s="25">
        <f>E441*K441*(1-F441)</f>
        <v/>
      </c>
      <c r="M441" s="25">
        <f>L441*VLOOKUP(D441,Lookups!$A$5:$E$10,5,FALSE)</f>
        <v/>
      </c>
    </row>
    <row r="442">
      <c r="A442" s="21" t="inlineStr">
        <is>
          <t>INV-10227</t>
        </is>
      </c>
      <c r="B442" s="22" t="n">
        <v>45798</v>
      </c>
      <c r="C442" s="21" t="inlineStr">
        <is>
          <t>R01</t>
        </is>
      </c>
      <c r="D442" s="21" t="inlineStr">
        <is>
          <t>P100</t>
        </is>
      </c>
      <c r="E442" s="21" t="n">
        <v>20</v>
      </c>
      <c r="F442" s="23" t="n">
        <v>0.1</v>
      </c>
      <c r="G442" s="24">
        <f>TEXT(B442,"mmm")</f>
        <v/>
      </c>
      <c r="H442" s="24">
        <f>HLOOKUP(C442,Lookups!$H$4:$K$5,2,FALSE)</f>
        <v/>
      </c>
      <c r="I442" s="24">
        <f>VLOOKUP(D442,Lookups!$A$5:$E$10,2,FALSE)</f>
        <v/>
      </c>
      <c r="J442" s="24">
        <f>VLOOKUP(D442,Lookups!$A$5:$E$10,3,FALSE)</f>
        <v/>
      </c>
      <c r="K442" s="25">
        <f>VLOOKUP(D442,Lookups!$A$5:$E$10,4,FALSE)</f>
        <v/>
      </c>
      <c r="L442" s="25">
        <f>E442*K442*(1-F442)</f>
        <v/>
      </c>
      <c r="M442" s="25">
        <f>L442*VLOOKUP(D442,Lookups!$A$5:$E$10,5,FALSE)</f>
        <v/>
      </c>
    </row>
    <row r="443">
      <c r="A443" s="21" t="inlineStr">
        <is>
          <t>INV-10266</t>
        </is>
      </c>
      <c r="B443" s="22" t="n">
        <v>45798</v>
      </c>
      <c r="C443" s="21" t="inlineStr">
        <is>
          <t>R03</t>
        </is>
      </c>
      <c r="D443" s="21" t="inlineStr">
        <is>
          <t>P500</t>
        </is>
      </c>
      <c r="E443" s="21" t="n">
        <v>13</v>
      </c>
      <c r="F443" s="23" t="n">
        <v>0.05</v>
      </c>
      <c r="G443" s="24">
        <f>TEXT(B443,"mmm")</f>
        <v/>
      </c>
      <c r="H443" s="24">
        <f>HLOOKUP(C443,Lookups!$H$4:$K$5,2,FALSE)</f>
        <v/>
      </c>
      <c r="I443" s="24">
        <f>VLOOKUP(D443,Lookups!$A$5:$E$10,2,FALSE)</f>
        <v/>
      </c>
      <c r="J443" s="24">
        <f>VLOOKUP(D443,Lookups!$A$5:$E$10,3,FALSE)</f>
        <v/>
      </c>
      <c r="K443" s="25">
        <f>VLOOKUP(D443,Lookups!$A$5:$E$10,4,FALSE)</f>
        <v/>
      </c>
      <c r="L443" s="25">
        <f>E443*K443*(1-F443)</f>
        <v/>
      </c>
      <c r="M443" s="25">
        <f>L443*VLOOKUP(D443,Lookups!$A$5:$E$10,5,FALSE)</f>
        <v/>
      </c>
    </row>
    <row r="444">
      <c r="A444" s="21" t="inlineStr">
        <is>
          <t>INV-10499</t>
        </is>
      </c>
      <c r="B444" s="22" t="n">
        <v>45798</v>
      </c>
      <c r="C444" s="21" t="inlineStr">
        <is>
          <t>R02</t>
        </is>
      </c>
      <c r="D444" s="21" t="inlineStr">
        <is>
          <t>P100</t>
        </is>
      </c>
      <c r="E444" s="21" t="n">
        <v>21</v>
      </c>
      <c r="F444" s="23" t="n">
        <v>0.1</v>
      </c>
      <c r="G444" s="24">
        <f>TEXT(B444,"mmm")</f>
        <v/>
      </c>
      <c r="H444" s="24">
        <f>HLOOKUP(C444,Lookups!$H$4:$K$5,2,FALSE)</f>
        <v/>
      </c>
      <c r="I444" s="24">
        <f>VLOOKUP(D444,Lookups!$A$5:$E$10,2,FALSE)</f>
        <v/>
      </c>
      <c r="J444" s="24">
        <f>VLOOKUP(D444,Lookups!$A$5:$E$10,3,FALSE)</f>
        <v/>
      </c>
      <c r="K444" s="25">
        <f>VLOOKUP(D444,Lookups!$A$5:$E$10,4,FALSE)</f>
        <v/>
      </c>
      <c r="L444" s="25">
        <f>E444*K444*(1-F444)</f>
        <v/>
      </c>
      <c r="M444" s="25">
        <f>L444*VLOOKUP(D444,Lookups!$A$5:$E$10,5,FALSE)</f>
        <v/>
      </c>
    </row>
    <row r="445">
      <c r="A445" s="21" t="inlineStr">
        <is>
          <t>INV-10792</t>
        </is>
      </c>
      <c r="B445" s="22" t="n">
        <v>45798</v>
      </c>
      <c r="C445" s="21" t="inlineStr">
        <is>
          <t>R04</t>
        </is>
      </c>
      <c r="D445" s="21" t="inlineStr">
        <is>
          <t>P300</t>
        </is>
      </c>
      <c r="E445" s="21" t="n">
        <v>17</v>
      </c>
      <c r="F445" s="23" t="n">
        <v>0.1</v>
      </c>
      <c r="G445" s="24">
        <f>TEXT(B445,"mmm")</f>
        <v/>
      </c>
      <c r="H445" s="24">
        <f>HLOOKUP(C445,Lookups!$H$4:$K$5,2,FALSE)</f>
        <v/>
      </c>
      <c r="I445" s="24">
        <f>VLOOKUP(D445,Lookups!$A$5:$E$10,2,FALSE)</f>
        <v/>
      </c>
      <c r="J445" s="24">
        <f>VLOOKUP(D445,Lookups!$A$5:$E$10,3,FALSE)</f>
        <v/>
      </c>
      <c r="K445" s="25">
        <f>VLOOKUP(D445,Lookups!$A$5:$E$10,4,FALSE)</f>
        <v/>
      </c>
      <c r="L445" s="25">
        <f>E445*K445*(1-F445)</f>
        <v/>
      </c>
      <c r="M445" s="25">
        <f>L445*VLOOKUP(D445,Lookups!$A$5:$E$10,5,FALSE)</f>
        <v/>
      </c>
    </row>
    <row r="446">
      <c r="A446" s="21" t="inlineStr">
        <is>
          <t>INV-10892</t>
        </is>
      </c>
      <c r="B446" s="22" t="n">
        <v>45798</v>
      </c>
      <c r="C446" s="21" t="inlineStr">
        <is>
          <t>R03</t>
        </is>
      </c>
      <c r="D446" s="21" t="inlineStr">
        <is>
          <t>P400</t>
        </is>
      </c>
      <c r="E446" s="21" t="n">
        <v>10</v>
      </c>
      <c r="F446" s="23" t="n">
        <v>0.1</v>
      </c>
      <c r="G446" s="24">
        <f>TEXT(B446,"mmm")</f>
        <v/>
      </c>
      <c r="H446" s="24">
        <f>HLOOKUP(C446,Lookups!$H$4:$K$5,2,FALSE)</f>
        <v/>
      </c>
      <c r="I446" s="24">
        <f>VLOOKUP(D446,Lookups!$A$5:$E$10,2,FALSE)</f>
        <v/>
      </c>
      <c r="J446" s="24">
        <f>VLOOKUP(D446,Lookups!$A$5:$E$10,3,FALSE)</f>
        <v/>
      </c>
      <c r="K446" s="25">
        <f>VLOOKUP(D446,Lookups!$A$5:$E$10,4,FALSE)</f>
        <v/>
      </c>
      <c r="L446" s="25">
        <f>E446*K446*(1-F446)</f>
        <v/>
      </c>
      <c r="M446" s="25">
        <f>L446*VLOOKUP(D446,Lookups!$A$5:$E$10,5,FALSE)</f>
        <v/>
      </c>
    </row>
    <row r="447">
      <c r="A447" s="21" t="inlineStr">
        <is>
          <t>INV-11116</t>
        </is>
      </c>
      <c r="B447" s="22" t="n">
        <v>45798</v>
      </c>
      <c r="C447" s="21" t="inlineStr">
        <is>
          <t>R02</t>
        </is>
      </c>
      <c r="D447" s="21" t="inlineStr">
        <is>
          <t>P500</t>
        </is>
      </c>
      <c r="E447" s="21" t="n">
        <v>3</v>
      </c>
      <c r="F447" s="23" t="n">
        <v>0</v>
      </c>
      <c r="G447" s="24">
        <f>TEXT(B447,"mmm")</f>
        <v/>
      </c>
      <c r="H447" s="24">
        <f>HLOOKUP(C447,Lookups!$H$4:$K$5,2,FALSE)</f>
        <v/>
      </c>
      <c r="I447" s="24">
        <f>VLOOKUP(D447,Lookups!$A$5:$E$10,2,FALSE)</f>
        <v/>
      </c>
      <c r="J447" s="24">
        <f>VLOOKUP(D447,Lookups!$A$5:$E$10,3,FALSE)</f>
        <v/>
      </c>
      <c r="K447" s="25">
        <f>VLOOKUP(D447,Lookups!$A$5:$E$10,4,FALSE)</f>
        <v/>
      </c>
      <c r="L447" s="25">
        <f>E447*K447*(1-F447)</f>
        <v/>
      </c>
      <c r="M447" s="25">
        <f>L447*VLOOKUP(D447,Lookups!$A$5:$E$10,5,FALSE)</f>
        <v/>
      </c>
    </row>
    <row r="448">
      <c r="A448" s="21" t="inlineStr">
        <is>
          <t>INV-10251</t>
        </is>
      </c>
      <c r="B448" s="22" t="n">
        <v>45799</v>
      </c>
      <c r="C448" s="21" t="inlineStr">
        <is>
          <t>R01</t>
        </is>
      </c>
      <c r="D448" s="21" t="inlineStr">
        <is>
          <t>P200</t>
        </is>
      </c>
      <c r="E448" s="21" t="n">
        <v>15</v>
      </c>
      <c r="F448" s="23" t="n">
        <v>0</v>
      </c>
      <c r="G448" s="24">
        <f>TEXT(B448,"mmm")</f>
        <v/>
      </c>
      <c r="H448" s="24">
        <f>HLOOKUP(C448,Lookups!$H$4:$K$5,2,FALSE)</f>
        <v/>
      </c>
      <c r="I448" s="24">
        <f>VLOOKUP(D448,Lookups!$A$5:$E$10,2,FALSE)</f>
        <v/>
      </c>
      <c r="J448" s="24">
        <f>VLOOKUP(D448,Lookups!$A$5:$E$10,3,FALSE)</f>
        <v/>
      </c>
      <c r="K448" s="25">
        <f>VLOOKUP(D448,Lookups!$A$5:$E$10,4,FALSE)</f>
        <v/>
      </c>
      <c r="L448" s="25">
        <f>E448*K448*(1-F448)</f>
        <v/>
      </c>
      <c r="M448" s="25">
        <f>L448*VLOOKUP(D448,Lookups!$A$5:$E$10,5,FALSE)</f>
        <v/>
      </c>
    </row>
    <row r="449">
      <c r="A449" s="21" t="inlineStr">
        <is>
          <t>INV-10491</t>
        </is>
      </c>
      <c r="B449" s="22" t="n">
        <v>45799</v>
      </c>
      <c r="C449" s="21" t="inlineStr">
        <is>
          <t>R01</t>
        </is>
      </c>
      <c r="D449" s="21" t="inlineStr">
        <is>
          <t>P200</t>
        </is>
      </c>
      <c r="E449" s="21" t="n">
        <v>2</v>
      </c>
      <c r="F449" s="23" t="n">
        <v>0.1</v>
      </c>
      <c r="G449" s="24">
        <f>TEXT(B449,"mmm")</f>
        <v/>
      </c>
      <c r="H449" s="24">
        <f>HLOOKUP(C449,Lookups!$H$4:$K$5,2,FALSE)</f>
        <v/>
      </c>
      <c r="I449" s="24">
        <f>VLOOKUP(D449,Lookups!$A$5:$E$10,2,FALSE)</f>
        <v/>
      </c>
      <c r="J449" s="24">
        <f>VLOOKUP(D449,Lookups!$A$5:$E$10,3,FALSE)</f>
        <v/>
      </c>
      <c r="K449" s="25">
        <f>VLOOKUP(D449,Lookups!$A$5:$E$10,4,FALSE)</f>
        <v/>
      </c>
      <c r="L449" s="25">
        <f>E449*K449*(1-F449)</f>
        <v/>
      </c>
      <c r="M449" s="25">
        <f>L449*VLOOKUP(D449,Lookups!$A$5:$E$10,5,FALSE)</f>
        <v/>
      </c>
    </row>
    <row r="450">
      <c r="A450" s="21" t="inlineStr">
        <is>
          <t>INV-10775</t>
        </is>
      </c>
      <c r="B450" s="22" t="n">
        <v>45799</v>
      </c>
      <c r="C450" s="21" t="inlineStr">
        <is>
          <t>R04</t>
        </is>
      </c>
      <c r="D450" s="21" t="inlineStr">
        <is>
          <t>P500</t>
        </is>
      </c>
      <c r="E450" s="21" t="n">
        <v>1</v>
      </c>
      <c r="F450" s="23" t="n">
        <v>0.1</v>
      </c>
      <c r="G450" s="24">
        <f>TEXT(B450,"mmm")</f>
        <v/>
      </c>
      <c r="H450" s="24">
        <f>HLOOKUP(C450,Lookups!$H$4:$K$5,2,FALSE)</f>
        <v/>
      </c>
      <c r="I450" s="24">
        <f>VLOOKUP(D450,Lookups!$A$5:$E$10,2,FALSE)</f>
        <v/>
      </c>
      <c r="J450" s="24">
        <f>VLOOKUP(D450,Lookups!$A$5:$E$10,3,FALSE)</f>
        <v/>
      </c>
      <c r="K450" s="25">
        <f>VLOOKUP(D450,Lookups!$A$5:$E$10,4,FALSE)</f>
        <v/>
      </c>
      <c r="L450" s="25">
        <f>E450*K450*(1-F450)</f>
        <v/>
      </c>
      <c r="M450" s="25">
        <f>L450*VLOOKUP(D450,Lookups!$A$5:$E$10,5,FALSE)</f>
        <v/>
      </c>
    </row>
    <row r="451">
      <c r="A451" s="21" t="inlineStr">
        <is>
          <t>INV-10780</t>
        </is>
      </c>
      <c r="B451" s="22" t="n">
        <v>45799</v>
      </c>
      <c r="C451" s="21" t="inlineStr">
        <is>
          <t>R02</t>
        </is>
      </c>
      <c r="D451" s="21" t="inlineStr">
        <is>
          <t>P400</t>
        </is>
      </c>
      <c r="E451" s="21" t="n">
        <v>20</v>
      </c>
      <c r="F451" s="23" t="n">
        <v>0.1</v>
      </c>
      <c r="G451" s="24">
        <f>TEXT(B451,"mmm")</f>
        <v/>
      </c>
      <c r="H451" s="24">
        <f>HLOOKUP(C451,Lookups!$H$4:$K$5,2,FALSE)</f>
        <v/>
      </c>
      <c r="I451" s="24">
        <f>VLOOKUP(D451,Lookups!$A$5:$E$10,2,FALSE)</f>
        <v/>
      </c>
      <c r="J451" s="24">
        <f>VLOOKUP(D451,Lookups!$A$5:$E$10,3,FALSE)</f>
        <v/>
      </c>
      <c r="K451" s="25">
        <f>VLOOKUP(D451,Lookups!$A$5:$E$10,4,FALSE)</f>
        <v/>
      </c>
      <c r="L451" s="25">
        <f>E451*K451*(1-F451)</f>
        <v/>
      </c>
      <c r="M451" s="25">
        <f>L451*VLOOKUP(D451,Lookups!$A$5:$E$10,5,FALSE)</f>
        <v/>
      </c>
    </row>
    <row r="452">
      <c r="A452" s="21" t="inlineStr">
        <is>
          <t>INV-10014</t>
        </is>
      </c>
      <c r="B452" s="22" t="n">
        <v>45800</v>
      </c>
      <c r="C452" s="21" t="inlineStr">
        <is>
          <t>R03</t>
        </is>
      </c>
      <c r="D452" s="21" t="inlineStr">
        <is>
          <t>P400</t>
        </is>
      </c>
      <c r="E452" s="21" t="n">
        <v>6</v>
      </c>
      <c r="F452" s="23" t="n">
        <v>0.05</v>
      </c>
      <c r="G452" s="24">
        <f>TEXT(B452,"mmm")</f>
        <v/>
      </c>
      <c r="H452" s="24">
        <f>HLOOKUP(C452,Lookups!$H$4:$K$5,2,FALSE)</f>
        <v/>
      </c>
      <c r="I452" s="24">
        <f>VLOOKUP(D452,Lookups!$A$5:$E$10,2,FALSE)</f>
        <v/>
      </c>
      <c r="J452" s="24">
        <f>VLOOKUP(D452,Lookups!$A$5:$E$10,3,FALSE)</f>
        <v/>
      </c>
      <c r="K452" s="25">
        <f>VLOOKUP(D452,Lookups!$A$5:$E$10,4,FALSE)</f>
        <v/>
      </c>
      <c r="L452" s="25">
        <f>E452*K452*(1-F452)</f>
        <v/>
      </c>
      <c r="M452" s="25">
        <f>L452*VLOOKUP(D452,Lookups!$A$5:$E$10,5,FALSE)</f>
        <v/>
      </c>
    </row>
    <row r="453">
      <c r="A453" s="21" t="inlineStr">
        <is>
          <t>INV-10044</t>
        </is>
      </c>
      <c r="B453" s="22" t="n">
        <v>45800</v>
      </c>
      <c r="C453" s="21" t="inlineStr">
        <is>
          <t>R04</t>
        </is>
      </c>
      <c r="D453" s="21" t="inlineStr">
        <is>
          <t>P600</t>
        </is>
      </c>
      <c r="E453" s="21" t="n">
        <v>7</v>
      </c>
      <c r="F453" s="23" t="n">
        <v>0</v>
      </c>
      <c r="G453" s="24">
        <f>TEXT(B453,"mmm")</f>
        <v/>
      </c>
      <c r="H453" s="24">
        <f>HLOOKUP(C453,Lookups!$H$4:$K$5,2,FALSE)</f>
        <v/>
      </c>
      <c r="I453" s="24">
        <f>VLOOKUP(D453,Lookups!$A$5:$E$10,2,FALSE)</f>
        <v/>
      </c>
      <c r="J453" s="24">
        <f>VLOOKUP(D453,Lookups!$A$5:$E$10,3,FALSE)</f>
        <v/>
      </c>
      <c r="K453" s="25">
        <f>VLOOKUP(D453,Lookups!$A$5:$E$10,4,FALSE)</f>
        <v/>
      </c>
      <c r="L453" s="25">
        <f>E453*K453*(1-F453)</f>
        <v/>
      </c>
      <c r="M453" s="25">
        <f>L453*VLOOKUP(D453,Lookups!$A$5:$E$10,5,FALSE)</f>
        <v/>
      </c>
    </row>
    <row r="454">
      <c r="A454" s="21" t="inlineStr">
        <is>
          <t>INV-10051</t>
        </is>
      </c>
      <c r="B454" s="22" t="n">
        <v>45800</v>
      </c>
      <c r="C454" s="21" t="inlineStr">
        <is>
          <t>R02</t>
        </is>
      </c>
      <c r="D454" s="21" t="inlineStr">
        <is>
          <t>P400</t>
        </is>
      </c>
      <c r="E454" s="21" t="n">
        <v>3</v>
      </c>
      <c r="F454" s="23" t="n">
        <v>0.1</v>
      </c>
      <c r="G454" s="24">
        <f>TEXT(B454,"mmm")</f>
        <v/>
      </c>
      <c r="H454" s="24">
        <f>HLOOKUP(C454,Lookups!$H$4:$K$5,2,FALSE)</f>
        <v/>
      </c>
      <c r="I454" s="24">
        <f>VLOOKUP(D454,Lookups!$A$5:$E$10,2,FALSE)</f>
        <v/>
      </c>
      <c r="J454" s="24">
        <f>VLOOKUP(D454,Lookups!$A$5:$E$10,3,FALSE)</f>
        <v/>
      </c>
      <c r="K454" s="25">
        <f>VLOOKUP(D454,Lookups!$A$5:$E$10,4,FALSE)</f>
        <v/>
      </c>
      <c r="L454" s="25">
        <f>E454*K454*(1-F454)</f>
        <v/>
      </c>
      <c r="M454" s="25">
        <f>L454*VLOOKUP(D454,Lookups!$A$5:$E$10,5,FALSE)</f>
        <v/>
      </c>
    </row>
    <row r="455">
      <c r="A455" s="21" t="inlineStr">
        <is>
          <t>INV-10128</t>
        </is>
      </c>
      <c r="B455" s="22" t="n">
        <v>45800</v>
      </c>
      <c r="C455" s="21" t="inlineStr">
        <is>
          <t>R03</t>
        </is>
      </c>
      <c r="D455" s="21" t="inlineStr">
        <is>
          <t>P400</t>
        </is>
      </c>
      <c r="E455" s="21" t="n">
        <v>3</v>
      </c>
      <c r="F455" s="23" t="n">
        <v>0.1</v>
      </c>
      <c r="G455" s="24">
        <f>TEXT(B455,"mmm")</f>
        <v/>
      </c>
      <c r="H455" s="24">
        <f>HLOOKUP(C455,Lookups!$H$4:$K$5,2,FALSE)</f>
        <v/>
      </c>
      <c r="I455" s="24">
        <f>VLOOKUP(D455,Lookups!$A$5:$E$10,2,FALSE)</f>
        <v/>
      </c>
      <c r="J455" s="24">
        <f>VLOOKUP(D455,Lookups!$A$5:$E$10,3,FALSE)</f>
        <v/>
      </c>
      <c r="K455" s="25">
        <f>VLOOKUP(D455,Lookups!$A$5:$E$10,4,FALSE)</f>
        <v/>
      </c>
      <c r="L455" s="25">
        <f>E455*K455*(1-F455)</f>
        <v/>
      </c>
      <c r="M455" s="25">
        <f>L455*VLOOKUP(D455,Lookups!$A$5:$E$10,5,FALSE)</f>
        <v/>
      </c>
    </row>
    <row r="456">
      <c r="A456" s="21" t="inlineStr">
        <is>
          <t>INV-10183</t>
        </is>
      </c>
      <c r="B456" s="22" t="n">
        <v>45800</v>
      </c>
      <c r="C456" s="21" t="inlineStr">
        <is>
          <t>R04</t>
        </is>
      </c>
      <c r="D456" s="21" t="inlineStr">
        <is>
          <t>P200</t>
        </is>
      </c>
      <c r="E456" s="21" t="n">
        <v>21</v>
      </c>
      <c r="F456" s="23" t="n">
        <v>0.1</v>
      </c>
      <c r="G456" s="24">
        <f>TEXT(B456,"mmm")</f>
        <v/>
      </c>
      <c r="H456" s="24">
        <f>HLOOKUP(C456,Lookups!$H$4:$K$5,2,FALSE)</f>
        <v/>
      </c>
      <c r="I456" s="24">
        <f>VLOOKUP(D456,Lookups!$A$5:$E$10,2,FALSE)</f>
        <v/>
      </c>
      <c r="J456" s="24">
        <f>VLOOKUP(D456,Lookups!$A$5:$E$10,3,FALSE)</f>
        <v/>
      </c>
      <c r="K456" s="25">
        <f>VLOOKUP(D456,Lookups!$A$5:$E$10,4,FALSE)</f>
        <v/>
      </c>
      <c r="L456" s="25">
        <f>E456*K456*(1-F456)</f>
        <v/>
      </c>
      <c r="M456" s="25">
        <f>L456*VLOOKUP(D456,Lookups!$A$5:$E$10,5,FALSE)</f>
        <v/>
      </c>
    </row>
    <row r="457">
      <c r="A457" s="21" t="inlineStr">
        <is>
          <t>INV-10662</t>
        </is>
      </c>
      <c r="B457" s="22" t="n">
        <v>45800</v>
      </c>
      <c r="C457" s="21" t="inlineStr">
        <is>
          <t>R03</t>
        </is>
      </c>
      <c r="D457" s="21" t="inlineStr">
        <is>
          <t>P100</t>
        </is>
      </c>
      <c r="E457" s="21" t="n">
        <v>3</v>
      </c>
      <c r="F457" s="23" t="n">
        <v>0</v>
      </c>
      <c r="G457" s="24">
        <f>TEXT(B457,"mmm")</f>
        <v/>
      </c>
      <c r="H457" s="24">
        <f>HLOOKUP(C457,Lookups!$H$4:$K$5,2,FALSE)</f>
        <v/>
      </c>
      <c r="I457" s="24">
        <f>VLOOKUP(D457,Lookups!$A$5:$E$10,2,FALSE)</f>
        <v/>
      </c>
      <c r="J457" s="24">
        <f>VLOOKUP(D457,Lookups!$A$5:$E$10,3,FALSE)</f>
        <v/>
      </c>
      <c r="K457" s="25">
        <f>VLOOKUP(D457,Lookups!$A$5:$E$10,4,FALSE)</f>
        <v/>
      </c>
      <c r="L457" s="25">
        <f>E457*K457*(1-F457)</f>
        <v/>
      </c>
      <c r="M457" s="25">
        <f>L457*VLOOKUP(D457,Lookups!$A$5:$E$10,5,FALSE)</f>
        <v/>
      </c>
    </row>
    <row r="458">
      <c r="A458" s="21" t="inlineStr">
        <is>
          <t>INV-10248</t>
        </is>
      </c>
      <c r="B458" s="22" t="n">
        <v>45801</v>
      </c>
      <c r="C458" s="21" t="inlineStr">
        <is>
          <t>R03</t>
        </is>
      </c>
      <c r="D458" s="21" t="inlineStr">
        <is>
          <t>P100</t>
        </is>
      </c>
      <c r="E458" s="21" t="n">
        <v>7</v>
      </c>
      <c r="F458" s="23" t="n">
        <v>0.1</v>
      </c>
      <c r="G458" s="24">
        <f>TEXT(B458,"mmm")</f>
        <v/>
      </c>
      <c r="H458" s="24">
        <f>HLOOKUP(C458,Lookups!$H$4:$K$5,2,FALSE)</f>
        <v/>
      </c>
      <c r="I458" s="24">
        <f>VLOOKUP(D458,Lookups!$A$5:$E$10,2,FALSE)</f>
        <v/>
      </c>
      <c r="J458" s="24">
        <f>VLOOKUP(D458,Lookups!$A$5:$E$10,3,FALSE)</f>
        <v/>
      </c>
      <c r="K458" s="25">
        <f>VLOOKUP(D458,Lookups!$A$5:$E$10,4,FALSE)</f>
        <v/>
      </c>
      <c r="L458" s="25">
        <f>E458*K458*(1-F458)</f>
        <v/>
      </c>
      <c r="M458" s="25">
        <f>L458*VLOOKUP(D458,Lookups!$A$5:$E$10,5,FALSE)</f>
        <v/>
      </c>
    </row>
    <row r="459">
      <c r="A459" s="21" t="inlineStr">
        <is>
          <t>INV-10713</t>
        </is>
      </c>
      <c r="B459" s="22" t="n">
        <v>45801</v>
      </c>
      <c r="C459" s="21" t="inlineStr">
        <is>
          <t>R02</t>
        </is>
      </c>
      <c r="D459" s="21" t="inlineStr">
        <is>
          <t>P400</t>
        </is>
      </c>
      <c r="E459" s="21" t="n">
        <v>2</v>
      </c>
      <c r="F459" s="23" t="n">
        <v>0</v>
      </c>
      <c r="G459" s="24">
        <f>TEXT(B459,"mmm")</f>
        <v/>
      </c>
      <c r="H459" s="24">
        <f>HLOOKUP(C459,Lookups!$H$4:$K$5,2,FALSE)</f>
        <v/>
      </c>
      <c r="I459" s="24">
        <f>VLOOKUP(D459,Lookups!$A$5:$E$10,2,FALSE)</f>
        <v/>
      </c>
      <c r="J459" s="24">
        <f>VLOOKUP(D459,Lookups!$A$5:$E$10,3,FALSE)</f>
        <v/>
      </c>
      <c r="K459" s="25">
        <f>VLOOKUP(D459,Lookups!$A$5:$E$10,4,FALSE)</f>
        <v/>
      </c>
      <c r="L459" s="25">
        <f>E459*K459*(1-F459)</f>
        <v/>
      </c>
      <c r="M459" s="25">
        <f>L459*VLOOKUP(D459,Lookups!$A$5:$E$10,5,FALSE)</f>
        <v/>
      </c>
    </row>
    <row r="460">
      <c r="A460" s="21" t="inlineStr">
        <is>
          <t>INV-11047</t>
        </is>
      </c>
      <c r="B460" s="22" t="n">
        <v>45801</v>
      </c>
      <c r="C460" s="21" t="inlineStr">
        <is>
          <t>R02</t>
        </is>
      </c>
      <c r="D460" s="21" t="inlineStr">
        <is>
          <t>P400</t>
        </is>
      </c>
      <c r="E460" s="21" t="n">
        <v>19</v>
      </c>
      <c r="F460" s="23" t="n">
        <v>0</v>
      </c>
      <c r="G460" s="24">
        <f>TEXT(B460,"mmm")</f>
        <v/>
      </c>
      <c r="H460" s="24">
        <f>HLOOKUP(C460,Lookups!$H$4:$K$5,2,FALSE)</f>
        <v/>
      </c>
      <c r="I460" s="24">
        <f>VLOOKUP(D460,Lookups!$A$5:$E$10,2,FALSE)</f>
        <v/>
      </c>
      <c r="J460" s="24">
        <f>VLOOKUP(D460,Lookups!$A$5:$E$10,3,FALSE)</f>
        <v/>
      </c>
      <c r="K460" s="25">
        <f>VLOOKUP(D460,Lookups!$A$5:$E$10,4,FALSE)</f>
        <v/>
      </c>
      <c r="L460" s="25">
        <f>E460*K460*(1-F460)</f>
        <v/>
      </c>
      <c r="M460" s="25">
        <f>L460*VLOOKUP(D460,Lookups!$A$5:$E$10,5,FALSE)</f>
        <v/>
      </c>
    </row>
    <row r="461">
      <c r="A461" s="21" t="inlineStr">
        <is>
          <t>INV-10416</t>
        </is>
      </c>
      <c r="B461" s="22" t="n">
        <v>45802</v>
      </c>
      <c r="C461" s="21" t="inlineStr">
        <is>
          <t>R04</t>
        </is>
      </c>
      <c r="D461" s="21" t="inlineStr">
        <is>
          <t>P400</t>
        </is>
      </c>
      <c r="E461" s="21" t="n">
        <v>10</v>
      </c>
      <c r="F461" s="23" t="n">
        <v>0</v>
      </c>
      <c r="G461" s="24">
        <f>TEXT(B461,"mmm")</f>
        <v/>
      </c>
      <c r="H461" s="24">
        <f>HLOOKUP(C461,Lookups!$H$4:$K$5,2,FALSE)</f>
        <v/>
      </c>
      <c r="I461" s="24">
        <f>VLOOKUP(D461,Lookups!$A$5:$E$10,2,FALSE)</f>
        <v/>
      </c>
      <c r="J461" s="24">
        <f>VLOOKUP(D461,Lookups!$A$5:$E$10,3,FALSE)</f>
        <v/>
      </c>
      <c r="K461" s="25">
        <f>VLOOKUP(D461,Lookups!$A$5:$E$10,4,FALSE)</f>
        <v/>
      </c>
      <c r="L461" s="25">
        <f>E461*K461*(1-F461)</f>
        <v/>
      </c>
      <c r="M461" s="25">
        <f>L461*VLOOKUP(D461,Lookups!$A$5:$E$10,5,FALSE)</f>
        <v/>
      </c>
    </row>
    <row r="462">
      <c r="A462" s="21" t="inlineStr">
        <is>
          <t>INV-10937</t>
        </is>
      </c>
      <c r="B462" s="22" t="n">
        <v>45802</v>
      </c>
      <c r="C462" s="21" t="inlineStr">
        <is>
          <t>R04</t>
        </is>
      </c>
      <c r="D462" s="21" t="inlineStr">
        <is>
          <t>P400</t>
        </is>
      </c>
      <c r="E462" s="21" t="n">
        <v>13</v>
      </c>
      <c r="F462" s="23" t="n">
        <v>0</v>
      </c>
      <c r="G462" s="24">
        <f>TEXT(B462,"mmm")</f>
        <v/>
      </c>
      <c r="H462" s="24">
        <f>HLOOKUP(C462,Lookups!$H$4:$K$5,2,FALSE)</f>
        <v/>
      </c>
      <c r="I462" s="24">
        <f>VLOOKUP(D462,Lookups!$A$5:$E$10,2,FALSE)</f>
        <v/>
      </c>
      <c r="J462" s="24">
        <f>VLOOKUP(D462,Lookups!$A$5:$E$10,3,FALSE)</f>
        <v/>
      </c>
      <c r="K462" s="25">
        <f>VLOOKUP(D462,Lookups!$A$5:$E$10,4,FALSE)</f>
        <v/>
      </c>
      <c r="L462" s="25">
        <f>E462*K462*(1-F462)</f>
        <v/>
      </c>
      <c r="M462" s="25">
        <f>L462*VLOOKUP(D462,Lookups!$A$5:$E$10,5,FALSE)</f>
        <v/>
      </c>
    </row>
    <row r="463">
      <c r="A463" s="21" t="inlineStr">
        <is>
          <t>INV-10068</t>
        </is>
      </c>
      <c r="B463" s="22" t="n">
        <v>45803</v>
      </c>
      <c r="C463" s="21" t="inlineStr">
        <is>
          <t>R04</t>
        </is>
      </c>
      <c r="D463" s="21" t="inlineStr">
        <is>
          <t>P200</t>
        </is>
      </c>
      <c r="E463" s="21" t="n">
        <v>18</v>
      </c>
      <c r="F463" s="23" t="n">
        <v>0.05</v>
      </c>
      <c r="G463" s="24">
        <f>TEXT(B463,"mmm")</f>
        <v/>
      </c>
      <c r="H463" s="24">
        <f>HLOOKUP(C463,Lookups!$H$4:$K$5,2,FALSE)</f>
        <v/>
      </c>
      <c r="I463" s="24">
        <f>VLOOKUP(D463,Lookups!$A$5:$E$10,2,FALSE)</f>
        <v/>
      </c>
      <c r="J463" s="24">
        <f>VLOOKUP(D463,Lookups!$A$5:$E$10,3,FALSE)</f>
        <v/>
      </c>
      <c r="K463" s="25">
        <f>VLOOKUP(D463,Lookups!$A$5:$E$10,4,FALSE)</f>
        <v/>
      </c>
      <c r="L463" s="25">
        <f>E463*K463*(1-F463)</f>
        <v/>
      </c>
      <c r="M463" s="25">
        <f>L463*VLOOKUP(D463,Lookups!$A$5:$E$10,5,FALSE)</f>
        <v/>
      </c>
    </row>
    <row r="464">
      <c r="A464" s="21" t="inlineStr">
        <is>
          <t>INV-10321</t>
        </is>
      </c>
      <c r="B464" s="22" t="n">
        <v>45803</v>
      </c>
      <c r="C464" s="21" t="inlineStr">
        <is>
          <t>R02</t>
        </is>
      </c>
      <c r="D464" s="21" t="inlineStr">
        <is>
          <t>P300</t>
        </is>
      </c>
      <c r="E464" s="21" t="n">
        <v>11</v>
      </c>
      <c r="F464" s="23" t="n">
        <v>0</v>
      </c>
      <c r="G464" s="24">
        <f>TEXT(B464,"mmm")</f>
        <v/>
      </c>
      <c r="H464" s="24">
        <f>HLOOKUP(C464,Lookups!$H$4:$K$5,2,FALSE)</f>
        <v/>
      </c>
      <c r="I464" s="24">
        <f>VLOOKUP(D464,Lookups!$A$5:$E$10,2,FALSE)</f>
        <v/>
      </c>
      <c r="J464" s="24">
        <f>VLOOKUP(D464,Lookups!$A$5:$E$10,3,FALSE)</f>
        <v/>
      </c>
      <c r="K464" s="25">
        <f>VLOOKUP(D464,Lookups!$A$5:$E$10,4,FALSE)</f>
        <v/>
      </c>
      <c r="L464" s="25">
        <f>E464*K464*(1-F464)</f>
        <v/>
      </c>
      <c r="M464" s="25">
        <f>L464*VLOOKUP(D464,Lookups!$A$5:$E$10,5,FALSE)</f>
        <v/>
      </c>
    </row>
    <row r="465">
      <c r="A465" s="21" t="inlineStr">
        <is>
          <t>INV-10339</t>
        </is>
      </c>
      <c r="B465" s="22" t="n">
        <v>45803</v>
      </c>
      <c r="C465" s="21" t="inlineStr">
        <is>
          <t>R02</t>
        </is>
      </c>
      <c r="D465" s="21" t="inlineStr">
        <is>
          <t>P100</t>
        </is>
      </c>
      <c r="E465" s="21" t="n">
        <v>9</v>
      </c>
      <c r="F465" s="23" t="n">
        <v>0.1</v>
      </c>
      <c r="G465" s="24">
        <f>TEXT(B465,"mmm")</f>
        <v/>
      </c>
      <c r="H465" s="24">
        <f>HLOOKUP(C465,Lookups!$H$4:$K$5,2,FALSE)</f>
        <v/>
      </c>
      <c r="I465" s="24">
        <f>VLOOKUP(D465,Lookups!$A$5:$E$10,2,FALSE)</f>
        <v/>
      </c>
      <c r="J465" s="24">
        <f>VLOOKUP(D465,Lookups!$A$5:$E$10,3,FALSE)</f>
        <v/>
      </c>
      <c r="K465" s="25">
        <f>VLOOKUP(D465,Lookups!$A$5:$E$10,4,FALSE)</f>
        <v/>
      </c>
      <c r="L465" s="25">
        <f>E465*K465*(1-F465)</f>
        <v/>
      </c>
      <c r="M465" s="25">
        <f>L465*VLOOKUP(D465,Lookups!$A$5:$E$10,5,FALSE)</f>
        <v/>
      </c>
    </row>
    <row r="466">
      <c r="A466" s="21" t="inlineStr">
        <is>
          <t>INV-11058</t>
        </is>
      </c>
      <c r="B466" s="22" t="n">
        <v>45803</v>
      </c>
      <c r="C466" s="21" t="inlineStr">
        <is>
          <t>R03</t>
        </is>
      </c>
      <c r="D466" s="21" t="inlineStr">
        <is>
          <t>P300</t>
        </is>
      </c>
      <c r="E466" s="21" t="n">
        <v>22</v>
      </c>
      <c r="F466" s="23" t="n">
        <v>0.1</v>
      </c>
      <c r="G466" s="24">
        <f>TEXT(B466,"mmm")</f>
        <v/>
      </c>
      <c r="H466" s="24">
        <f>HLOOKUP(C466,Lookups!$H$4:$K$5,2,FALSE)</f>
        <v/>
      </c>
      <c r="I466" s="24">
        <f>VLOOKUP(D466,Lookups!$A$5:$E$10,2,FALSE)</f>
        <v/>
      </c>
      <c r="J466" s="24">
        <f>VLOOKUP(D466,Lookups!$A$5:$E$10,3,FALSE)</f>
        <v/>
      </c>
      <c r="K466" s="25">
        <f>VLOOKUP(D466,Lookups!$A$5:$E$10,4,FALSE)</f>
        <v/>
      </c>
      <c r="L466" s="25">
        <f>E466*K466*(1-F466)</f>
        <v/>
      </c>
      <c r="M466" s="25">
        <f>L466*VLOOKUP(D466,Lookups!$A$5:$E$10,5,FALSE)</f>
        <v/>
      </c>
    </row>
    <row r="467">
      <c r="A467" s="21" t="inlineStr">
        <is>
          <t>INV-11143</t>
        </is>
      </c>
      <c r="B467" s="22" t="n">
        <v>45803</v>
      </c>
      <c r="C467" s="21" t="inlineStr">
        <is>
          <t>R01</t>
        </is>
      </c>
      <c r="D467" s="21" t="inlineStr">
        <is>
          <t>P500</t>
        </is>
      </c>
      <c r="E467" s="21" t="n">
        <v>17</v>
      </c>
      <c r="F467" s="23" t="n">
        <v>0</v>
      </c>
      <c r="G467" s="24">
        <f>TEXT(B467,"mmm")</f>
        <v/>
      </c>
      <c r="H467" s="24">
        <f>HLOOKUP(C467,Lookups!$H$4:$K$5,2,FALSE)</f>
        <v/>
      </c>
      <c r="I467" s="24">
        <f>VLOOKUP(D467,Lookups!$A$5:$E$10,2,FALSE)</f>
        <v/>
      </c>
      <c r="J467" s="24">
        <f>VLOOKUP(D467,Lookups!$A$5:$E$10,3,FALSE)</f>
        <v/>
      </c>
      <c r="K467" s="25">
        <f>VLOOKUP(D467,Lookups!$A$5:$E$10,4,FALSE)</f>
        <v/>
      </c>
      <c r="L467" s="25">
        <f>E467*K467*(1-F467)</f>
        <v/>
      </c>
      <c r="M467" s="25">
        <f>L467*VLOOKUP(D467,Lookups!$A$5:$E$10,5,FALSE)</f>
        <v/>
      </c>
    </row>
    <row r="468">
      <c r="A468" s="21" t="inlineStr">
        <is>
          <t>INV-10056</t>
        </is>
      </c>
      <c r="B468" s="22" t="n">
        <v>45804</v>
      </c>
      <c r="C468" s="21" t="inlineStr">
        <is>
          <t>R04</t>
        </is>
      </c>
      <c r="D468" s="21" t="inlineStr">
        <is>
          <t>P400</t>
        </is>
      </c>
      <c r="E468" s="21" t="n">
        <v>5</v>
      </c>
      <c r="F468" s="23" t="n">
        <v>0</v>
      </c>
      <c r="G468" s="24">
        <f>TEXT(B468,"mmm")</f>
        <v/>
      </c>
      <c r="H468" s="24">
        <f>HLOOKUP(C468,Lookups!$H$4:$K$5,2,FALSE)</f>
        <v/>
      </c>
      <c r="I468" s="24">
        <f>VLOOKUP(D468,Lookups!$A$5:$E$10,2,FALSE)</f>
        <v/>
      </c>
      <c r="J468" s="24">
        <f>VLOOKUP(D468,Lookups!$A$5:$E$10,3,FALSE)</f>
        <v/>
      </c>
      <c r="K468" s="25">
        <f>VLOOKUP(D468,Lookups!$A$5:$E$10,4,FALSE)</f>
        <v/>
      </c>
      <c r="L468" s="25">
        <f>E468*K468*(1-F468)</f>
        <v/>
      </c>
      <c r="M468" s="25">
        <f>L468*VLOOKUP(D468,Lookups!$A$5:$E$10,5,FALSE)</f>
        <v/>
      </c>
    </row>
    <row r="469">
      <c r="A469" s="21" t="inlineStr">
        <is>
          <t>INV-10114</t>
        </is>
      </c>
      <c r="B469" s="22" t="n">
        <v>45804</v>
      </c>
      <c r="C469" s="21" t="inlineStr">
        <is>
          <t>R03</t>
        </is>
      </c>
      <c r="D469" s="21" t="inlineStr">
        <is>
          <t>P200</t>
        </is>
      </c>
      <c r="E469" s="21" t="n">
        <v>11</v>
      </c>
      <c r="F469" s="23" t="n">
        <v>0.05</v>
      </c>
      <c r="G469" s="24">
        <f>TEXT(B469,"mmm")</f>
        <v/>
      </c>
      <c r="H469" s="24">
        <f>HLOOKUP(C469,Lookups!$H$4:$K$5,2,FALSE)</f>
        <v/>
      </c>
      <c r="I469" s="24">
        <f>VLOOKUP(D469,Lookups!$A$5:$E$10,2,FALSE)</f>
        <v/>
      </c>
      <c r="J469" s="24">
        <f>VLOOKUP(D469,Lookups!$A$5:$E$10,3,FALSE)</f>
        <v/>
      </c>
      <c r="K469" s="25">
        <f>VLOOKUP(D469,Lookups!$A$5:$E$10,4,FALSE)</f>
        <v/>
      </c>
      <c r="L469" s="25">
        <f>E469*K469*(1-F469)</f>
        <v/>
      </c>
      <c r="M469" s="25">
        <f>L469*VLOOKUP(D469,Lookups!$A$5:$E$10,5,FALSE)</f>
        <v/>
      </c>
    </row>
    <row r="470">
      <c r="A470" s="21" t="inlineStr">
        <is>
          <t>INV-10228</t>
        </is>
      </c>
      <c r="B470" s="22" t="n">
        <v>45804</v>
      </c>
      <c r="C470" s="21" t="inlineStr">
        <is>
          <t>R03</t>
        </is>
      </c>
      <c r="D470" s="21" t="inlineStr">
        <is>
          <t>P200</t>
        </is>
      </c>
      <c r="E470" s="21" t="n">
        <v>8</v>
      </c>
      <c r="F470" s="23" t="n">
        <v>0</v>
      </c>
      <c r="G470" s="24">
        <f>TEXT(B470,"mmm")</f>
        <v/>
      </c>
      <c r="H470" s="24">
        <f>HLOOKUP(C470,Lookups!$H$4:$K$5,2,FALSE)</f>
        <v/>
      </c>
      <c r="I470" s="24">
        <f>VLOOKUP(D470,Lookups!$A$5:$E$10,2,FALSE)</f>
        <v/>
      </c>
      <c r="J470" s="24">
        <f>VLOOKUP(D470,Lookups!$A$5:$E$10,3,FALSE)</f>
        <v/>
      </c>
      <c r="K470" s="25">
        <f>VLOOKUP(D470,Lookups!$A$5:$E$10,4,FALSE)</f>
        <v/>
      </c>
      <c r="L470" s="25">
        <f>E470*K470*(1-F470)</f>
        <v/>
      </c>
      <c r="M470" s="25">
        <f>L470*VLOOKUP(D470,Lookups!$A$5:$E$10,5,FALSE)</f>
        <v/>
      </c>
    </row>
    <row r="471">
      <c r="A471" s="21" t="inlineStr">
        <is>
          <t>INV-10364</t>
        </is>
      </c>
      <c r="B471" s="22" t="n">
        <v>45804</v>
      </c>
      <c r="C471" s="21" t="inlineStr">
        <is>
          <t>R01</t>
        </is>
      </c>
      <c r="D471" s="21" t="inlineStr">
        <is>
          <t>P300</t>
        </is>
      </c>
      <c r="E471" s="21" t="n">
        <v>21</v>
      </c>
      <c r="F471" s="23" t="n">
        <v>0.05</v>
      </c>
      <c r="G471" s="24">
        <f>TEXT(B471,"mmm")</f>
        <v/>
      </c>
      <c r="H471" s="24">
        <f>HLOOKUP(C471,Lookups!$H$4:$K$5,2,FALSE)</f>
        <v/>
      </c>
      <c r="I471" s="24">
        <f>VLOOKUP(D471,Lookups!$A$5:$E$10,2,FALSE)</f>
        <v/>
      </c>
      <c r="J471" s="24">
        <f>VLOOKUP(D471,Lookups!$A$5:$E$10,3,FALSE)</f>
        <v/>
      </c>
      <c r="K471" s="25">
        <f>VLOOKUP(D471,Lookups!$A$5:$E$10,4,FALSE)</f>
        <v/>
      </c>
      <c r="L471" s="25">
        <f>E471*K471*(1-F471)</f>
        <v/>
      </c>
      <c r="M471" s="25">
        <f>L471*VLOOKUP(D471,Lookups!$A$5:$E$10,5,FALSE)</f>
        <v/>
      </c>
    </row>
    <row r="472">
      <c r="A472" s="21" t="inlineStr">
        <is>
          <t>INV-10484</t>
        </is>
      </c>
      <c r="B472" s="22" t="n">
        <v>45804</v>
      </c>
      <c r="C472" s="21" t="inlineStr">
        <is>
          <t>R02</t>
        </is>
      </c>
      <c r="D472" s="21" t="inlineStr">
        <is>
          <t>P400</t>
        </is>
      </c>
      <c r="E472" s="21" t="n">
        <v>25</v>
      </c>
      <c r="F472" s="23" t="n">
        <v>0</v>
      </c>
      <c r="G472" s="24">
        <f>TEXT(B472,"mmm")</f>
        <v/>
      </c>
      <c r="H472" s="24">
        <f>HLOOKUP(C472,Lookups!$H$4:$K$5,2,FALSE)</f>
        <v/>
      </c>
      <c r="I472" s="24">
        <f>VLOOKUP(D472,Lookups!$A$5:$E$10,2,FALSE)</f>
        <v/>
      </c>
      <c r="J472" s="24">
        <f>VLOOKUP(D472,Lookups!$A$5:$E$10,3,FALSE)</f>
        <v/>
      </c>
      <c r="K472" s="25">
        <f>VLOOKUP(D472,Lookups!$A$5:$E$10,4,FALSE)</f>
        <v/>
      </c>
      <c r="L472" s="25">
        <f>E472*K472*(1-F472)</f>
        <v/>
      </c>
      <c r="M472" s="25">
        <f>L472*VLOOKUP(D472,Lookups!$A$5:$E$10,5,FALSE)</f>
        <v/>
      </c>
    </row>
    <row r="473">
      <c r="A473" s="21" t="inlineStr">
        <is>
          <t>INV-10453</t>
        </is>
      </c>
      <c r="B473" s="22" t="n">
        <v>45805</v>
      </c>
      <c r="C473" s="21" t="inlineStr">
        <is>
          <t>R03</t>
        </is>
      </c>
      <c r="D473" s="21" t="inlineStr">
        <is>
          <t>P300</t>
        </is>
      </c>
      <c r="E473" s="21" t="n">
        <v>21</v>
      </c>
      <c r="F473" s="23" t="n">
        <v>0</v>
      </c>
      <c r="G473" s="24">
        <f>TEXT(B473,"mmm")</f>
        <v/>
      </c>
      <c r="H473" s="24">
        <f>HLOOKUP(C473,Lookups!$H$4:$K$5,2,FALSE)</f>
        <v/>
      </c>
      <c r="I473" s="24">
        <f>VLOOKUP(D473,Lookups!$A$5:$E$10,2,FALSE)</f>
        <v/>
      </c>
      <c r="J473" s="24">
        <f>VLOOKUP(D473,Lookups!$A$5:$E$10,3,FALSE)</f>
        <v/>
      </c>
      <c r="K473" s="25">
        <f>VLOOKUP(D473,Lookups!$A$5:$E$10,4,FALSE)</f>
        <v/>
      </c>
      <c r="L473" s="25">
        <f>E473*K473*(1-F473)</f>
        <v/>
      </c>
      <c r="M473" s="25">
        <f>L473*VLOOKUP(D473,Lookups!$A$5:$E$10,5,FALSE)</f>
        <v/>
      </c>
    </row>
    <row r="474">
      <c r="A474" s="21" t="inlineStr">
        <is>
          <t>INV-10013</t>
        </is>
      </c>
      <c r="B474" s="22" t="n">
        <v>45806</v>
      </c>
      <c r="C474" s="21" t="inlineStr">
        <is>
          <t>R02</t>
        </is>
      </c>
      <c r="D474" s="21" t="inlineStr">
        <is>
          <t>P100</t>
        </is>
      </c>
      <c r="E474" s="21" t="n">
        <v>4</v>
      </c>
      <c r="F474" s="23" t="n">
        <v>0.1</v>
      </c>
      <c r="G474" s="24">
        <f>TEXT(B474,"mmm")</f>
        <v/>
      </c>
      <c r="H474" s="24">
        <f>HLOOKUP(C474,Lookups!$H$4:$K$5,2,FALSE)</f>
        <v/>
      </c>
      <c r="I474" s="24">
        <f>VLOOKUP(D474,Lookups!$A$5:$E$10,2,FALSE)</f>
        <v/>
      </c>
      <c r="J474" s="24">
        <f>VLOOKUP(D474,Lookups!$A$5:$E$10,3,FALSE)</f>
        <v/>
      </c>
      <c r="K474" s="25">
        <f>VLOOKUP(D474,Lookups!$A$5:$E$10,4,FALSE)</f>
        <v/>
      </c>
      <c r="L474" s="25">
        <f>E474*K474*(1-F474)</f>
        <v/>
      </c>
      <c r="M474" s="25">
        <f>L474*VLOOKUP(D474,Lookups!$A$5:$E$10,5,FALSE)</f>
        <v/>
      </c>
    </row>
    <row r="475">
      <c r="A475" s="21" t="inlineStr">
        <is>
          <t>INV-10621</t>
        </is>
      </c>
      <c r="B475" s="22" t="n">
        <v>45806</v>
      </c>
      <c r="C475" s="21" t="inlineStr">
        <is>
          <t>R03</t>
        </is>
      </c>
      <c r="D475" s="21" t="inlineStr">
        <is>
          <t>P500</t>
        </is>
      </c>
      <c r="E475" s="21" t="n">
        <v>17</v>
      </c>
      <c r="F475" s="23" t="n">
        <v>0</v>
      </c>
      <c r="G475" s="24">
        <f>TEXT(B475,"mmm")</f>
        <v/>
      </c>
      <c r="H475" s="24">
        <f>HLOOKUP(C475,Lookups!$H$4:$K$5,2,FALSE)</f>
        <v/>
      </c>
      <c r="I475" s="24">
        <f>VLOOKUP(D475,Lookups!$A$5:$E$10,2,FALSE)</f>
        <v/>
      </c>
      <c r="J475" s="24">
        <f>VLOOKUP(D475,Lookups!$A$5:$E$10,3,FALSE)</f>
        <v/>
      </c>
      <c r="K475" s="25">
        <f>VLOOKUP(D475,Lookups!$A$5:$E$10,4,FALSE)</f>
        <v/>
      </c>
      <c r="L475" s="25">
        <f>E475*K475*(1-F475)</f>
        <v/>
      </c>
      <c r="M475" s="25">
        <f>L475*VLOOKUP(D475,Lookups!$A$5:$E$10,5,FALSE)</f>
        <v/>
      </c>
    </row>
    <row r="476">
      <c r="A476" s="21" t="inlineStr">
        <is>
          <t>INV-10936</t>
        </is>
      </c>
      <c r="B476" s="22" t="n">
        <v>45806</v>
      </c>
      <c r="C476" s="21" t="inlineStr">
        <is>
          <t>R03</t>
        </is>
      </c>
      <c r="D476" s="21" t="inlineStr">
        <is>
          <t>P600</t>
        </is>
      </c>
      <c r="E476" s="21" t="n">
        <v>20</v>
      </c>
      <c r="F476" s="23" t="n">
        <v>0</v>
      </c>
      <c r="G476" s="24">
        <f>TEXT(B476,"mmm")</f>
        <v/>
      </c>
      <c r="H476" s="24">
        <f>HLOOKUP(C476,Lookups!$H$4:$K$5,2,FALSE)</f>
        <v/>
      </c>
      <c r="I476" s="24">
        <f>VLOOKUP(D476,Lookups!$A$5:$E$10,2,FALSE)</f>
        <v/>
      </c>
      <c r="J476" s="24">
        <f>VLOOKUP(D476,Lookups!$A$5:$E$10,3,FALSE)</f>
        <v/>
      </c>
      <c r="K476" s="25">
        <f>VLOOKUP(D476,Lookups!$A$5:$E$10,4,FALSE)</f>
        <v/>
      </c>
      <c r="L476" s="25">
        <f>E476*K476*(1-F476)</f>
        <v/>
      </c>
      <c r="M476" s="25">
        <f>L476*VLOOKUP(D476,Lookups!$A$5:$E$10,5,FALSE)</f>
        <v/>
      </c>
    </row>
    <row r="477">
      <c r="A477" s="21" t="inlineStr">
        <is>
          <t>INV-11088</t>
        </is>
      </c>
      <c r="B477" s="22" t="n">
        <v>45806</v>
      </c>
      <c r="C477" s="21" t="inlineStr">
        <is>
          <t>R04</t>
        </is>
      </c>
      <c r="D477" s="21" t="inlineStr">
        <is>
          <t>P100</t>
        </is>
      </c>
      <c r="E477" s="21" t="n">
        <v>20</v>
      </c>
      <c r="F477" s="23" t="n">
        <v>0.1</v>
      </c>
      <c r="G477" s="24">
        <f>TEXT(B477,"mmm")</f>
        <v/>
      </c>
      <c r="H477" s="24">
        <f>HLOOKUP(C477,Lookups!$H$4:$K$5,2,FALSE)</f>
        <v/>
      </c>
      <c r="I477" s="24">
        <f>VLOOKUP(D477,Lookups!$A$5:$E$10,2,FALSE)</f>
        <v/>
      </c>
      <c r="J477" s="24">
        <f>VLOOKUP(D477,Lookups!$A$5:$E$10,3,FALSE)</f>
        <v/>
      </c>
      <c r="K477" s="25">
        <f>VLOOKUP(D477,Lookups!$A$5:$E$10,4,FALSE)</f>
        <v/>
      </c>
      <c r="L477" s="25">
        <f>E477*K477*(1-F477)</f>
        <v/>
      </c>
      <c r="M477" s="25">
        <f>L477*VLOOKUP(D477,Lookups!$A$5:$E$10,5,FALSE)</f>
        <v/>
      </c>
    </row>
    <row r="478">
      <c r="A478" s="21" t="inlineStr">
        <is>
          <t>INV-10172</t>
        </is>
      </c>
      <c r="B478" s="22" t="n">
        <v>45807</v>
      </c>
      <c r="C478" s="21" t="inlineStr">
        <is>
          <t>R02</t>
        </is>
      </c>
      <c r="D478" s="21" t="inlineStr">
        <is>
          <t>P100</t>
        </is>
      </c>
      <c r="E478" s="21" t="n">
        <v>10</v>
      </c>
      <c r="F478" s="23" t="n">
        <v>0.05</v>
      </c>
      <c r="G478" s="24">
        <f>TEXT(B478,"mmm")</f>
        <v/>
      </c>
      <c r="H478" s="24">
        <f>HLOOKUP(C478,Lookups!$H$4:$K$5,2,FALSE)</f>
        <v/>
      </c>
      <c r="I478" s="24">
        <f>VLOOKUP(D478,Lookups!$A$5:$E$10,2,FALSE)</f>
        <v/>
      </c>
      <c r="J478" s="24">
        <f>VLOOKUP(D478,Lookups!$A$5:$E$10,3,FALSE)</f>
        <v/>
      </c>
      <c r="K478" s="25">
        <f>VLOOKUP(D478,Lookups!$A$5:$E$10,4,FALSE)</f>
        <v/>
      </c>
      <c r="L478" s="25">
        <f>E478*K478*(1-F478)</f>
        <v/>
      </c>
      <c r="M478" s="25">
        <f>L478*VLOOKUP(D478,Lookups!$A$5:$E$10,5,FALSE)</f>
        <v/>
      </c>
    </row>
    <row r="479">
      <c r="A479" s="21" t="inlineStr">
        <is>
          <t>INV-10683</t>
        </is>
      </c>
      <c r="B479" s="22" t="n">
        <v>45807</v>
      </c>
      <c r="C479" s="21" t="inlineStr">
        <is>
          <t>R03</t>
        </is>
      </c>
      <c r="D479" s="21" t="inlineStr">
        <is>
          <t>P500</t>
        </is>
      </c>
      <c r="E479" s="21" t="n">
        <v>24</v>
      </c>
      <c r="F479" s="23" t="n">
        <v>0</v>
      </c>
      <c r="G479" s="24">
        <f>TEXT(B479,"mmm")</f>
        <v/>
      </c>
      <c r="H479" s="24">
        <f>HLOOKUP(C479,Lookups!$H$4:$K$5,2,FALSE)</f>
        <v/>
      </c>
      <c r="I479" s="24">
        <f>VLOOKUP(D479,Lookups!$A$5:$E$10,2,FALSE)</f>
        <v/>
      </c>
      <c r="J479" s="24">
        <f>VLOOKUP(D479,Lookups!$A$5:$E$10,3,FALSE)</f>
        <v/>
      </c>
      <c r="K479" s="25">
        <f>VLOOKUP(D479,Lookups!$A$5:$E$10,4,FALSE)</f>
        <v/>
      </c>
      <c r="L479" s="25">
        <f>E479*K479*(1-F479)</f>
        <v/>
      </c>
      <c r="M479" s="25">
        <f>L479*VLOOKUP(D479,Lookups!$A$5:$E$10,5,FALSE)</f>
        <v/>
      </c>
    </row>
    <row r="480">
      <c r="A480" s="21" t="inlineStr">
        <is>
          <t>INV-11082</t>
        </is>
      </c>
      <c r="B480" s="22" t="n">
        <v>45807</v>
      </c>
      <c r="C480" s="21" t="inlineStr">
        <is>
          <t>R02</t>
        </is>
      </c>
      <c r="D480" s="21" t="inlineStr">
        <is>
          <t>P500</t>
        </is>
      </c>
      <c r="E480" s="21" t="n">
        <v>1</v>
      </c>
      <c r="F480" s="23" t="n">
        <v>0.05</v>
      </c>
      <c r="G480" s="24">
        <f>TEXT(B480,"mmm")</f>
        <v/>
      </c>
      <c r="H480" s="24">
        <f>HLOOKUP(C480,Lookups!$H$4:$K$5,2,FALSE)</f>
        <v/>
      </c>
      <c r="I480" s="24">
        <f>VLOOKUP(D480,Lookups!$A$5:$E$10,2,FALSE)</f>
        <v/>
      </c>
      <c r="J480" s="24">
        <f>VLOOKUP(D480,Lookups!$A$5:$E$10,3,FALSE)</f>
        <v/>
      </c>
      <c r="K480" s="25">
        <f>VLOOKUP(D480,Lookups!$A$5:$E$10,4,FALSE)</f>
        <v/>
      </c>
      <c r="L480" s="25">
        <f>E480*K480*(1-F480)</f>
        <v/>
      </c>
      <c r="M480" s="25">
        <f>L480*VLOOKUP(D480,Lookups!$A$5:$E$10,5,FALSE)</f>
        <v/>
      </c>
    </row>
    <row r="481">
      <c r="A481" s="21" t="inlineStr">
        <is>
          <t>INV-11180</t>
        </is>
      </c>
      <c r="B481" s="22" t="n">
        <v>45807</v>
      </c>
      <c r="C481" s="21" t="inlineStr">
        <is>
          <t>R04</t>
        </is>
      </c>
      <c r="D481" s="21" t="inlineStr">
        <is>
          <t>P600</t>
        </is>
      </c>
      <c r="E481" s="21" t="n">
        <v>8</v>
      </c>
      <c r="F481" s="23" t="n">
        <v>0.1</v>
      </c>
      <c r="G481" s="24">
        <f>TEXT(B481,"mmm")</f>
        <v/>
      </c>
      <c r="H481" s="24">
        <f>HLOOKUP(C481,Lookups!$H$4:$K$5,2,FALSE)</f>
        <v/>
      </c>
      <c r="I481" s="24">
        <f>VLOOKUP(D481,Lookups!$A$5:$E$10,2,FALSE)</f>
        <v/>
      </c>
      <c r="J481" s="24">
        <f>VLOOKUP(D481,Lookups!$A$5:$E$10,3,FALSE)</f>
        <v/>
      </c>
      <c r="K481" s="25">
        <f>VLOOKUP(D481,Lookups!$A$5:$E$10,4,FALSE)</f>
        <v/>
      </c>
      <c r="L481" s="25">
        <f>E481*K481*(1-F481)</f>
        <v/>
      </c>
      <c r="M481" s="25">
        <f>L481*VLOOKUP(D481,Lookups!$A$5:$E$10,5,FALSE)</f>
        <v/>
      </c>
    </row>
    <row r="482">
      <c r="A482" s="21" t="inlineStr">
        <is>
          <t>INV-10815</t>
        </is>
      </c>
      <c r="B482" s="22" t="n">
        <v>45808</v>
      </c>
      <c r="C482" s="21" t="inlineStr">
        <is>
          <t>R04</t>
        </is>
      </c>
      <c r="D482" s="21" t="inlineStr">
        <is>
          <t>P100</t>
        </is>
      </c>
      <c r="E482" s="21" t="n">
        <v>5</v>
      </c>
      <c r="F482" s="23" t="n">
        <v>0.05</v>
      </c>
      <c r="G482" s="24">
        <f>TEXT(B482,"mmm")</f>
        <v/>
      </c>
      <c r="H482" s="24">
        <f>HLOOKUP(C482,Lookups!$H$4:$K$5,2,FALSE)</f>
        <v/>
      </c>
      <c r="I482" s="24">
        <f>VLOOKUP(D482,Lookups!$A$5:$E$10,2,FALSE)</f>
        <v/>
      </c>
      <c r="J482" s="24">
        <f>VLOOKUP(D482,Lookups!$A$5:$E$10,3,FALSE)</f>
        <v/>
      </c>
      <c r="K482" s="25">
        <f>VLOOKUP(D482,Lookups!$A$5:$E$10,4,FALSE)</f>
        <v/>
      </c>
      <c r="L482" s="25">
        <f>E482*K482*(1-F482)</f>
        <v/>
      </c>
      <c r="M482" s="25">
        <f>L482*VLOOKUP(D482,Lookups!$A$5:$E$10,5,FALSE)</f>
        <v/>
      </c>
    </row>
    <row r="483">
      <c r="A483" s="21" t="inlineStr">
        <is>
          <t>INV-10919</t>
        </is>
      </c>
      <c r="B483" s="22" t="n">
        <v>45808</v>
      </c>
      <c r="C483" s="21" t="inlineStr">
        <is>
          <t>R04</t>
        </is>
      </c>
      <c r="D483" s="21" t="inlineStr">
        <is>
          <t>P200</t>
        </is>
      </c>
      <c r="E483" s="21" t="n">
        <v>18</v>
      </c>
      <c r="F483" s="23" t="n">
        <v>0</v>
      </c>
      <c r="G483" s="24">
        <f>TEXT(B483,"mmm")</f>
        <v/>
      </c>
      <c r="H483" s="24">
        <f>HLOOKUP(C483,Lookups!$H$4:$K$5,2,FALSE)</f>
        <v/>
      </c>
      <c r="I483" s="24">
        <f>VLOOKUP(D483,Lookups!$A$5:$E$10,2,FALSE)</f>
        <v/>
      </c>
      <c r="J483" s="24">
        <f>VLOOKUP(D483,Lookups!$A$5:$E$10,3,FALSE)</f>
        <v/>
      </c>
      <c r="K483" s="25">
        <f>VLOOKUP(D483,Lookups!$A$5:$E$10,4,FALSE)</f>
        <v/>
      </c>
      <c r="L483" s="25">
        <f>E483*K483*(1-F483)</f>
        <v/>
      </c>
      <c r="M483" s="25">
        <f>L483*VLOOKUP(D483,Lookups!$A$5:$E$10,5,FALSE)</f>
        <v/>
      </c>
    </row>
    <row r="484">
      <c r="A484" s="21" t="inlineStr">
        <is>
          <t>INV-10057</t>
        </is>
      </c>
      <c r="B484" s="22" t="n">
        <v>45809</v>
      </c>
      <c r="C484" s="21" t="inlineStr">
        <is>
          <t>R01</t>
        </is>
      </c>
      <c r="D484" s="21" t="inlineStr">
        <is>
          <t>P200</t>
        </is>
      </c>
      <c r="E484" s="21" t="n">
        <v>19</v>
      </c>
      <c r="F484" s="23" t="n">
        <v>0</v>
      </c>
      <c r="G484" s="24">
        <f>TEXT(B484,"mmm")</f>
        <v/>
      </c>
      <c r="H484" s="24">
        <f>HLOOKUP(C484,Lookups!$H$4:$K$5,2,FALSE)</f>
        <v/>
      </c>
      <c r="I484" s="24">
        <f>VLOOKUP(D484,Lookups!$A$5:$E$10,2,FALSE)</f>
        <v/>
      </c>
      <c r="J484" s="24">
        <f>VLOOKUP(D484,Lookups!$A$5:$E$10,3,FALSE)</f>
        <v/>
      </c>
      <c r="K484" s="25">
        <f>VLOOKUP(D484,Lookups!$A$5:$E$10,4,FALSE)</f>
        <v/>
      </c>
      <c r="L484" s="25">
        <f>E484*K484*(1-F484)</f>
        <v/>
      </c>
      <c r="M484" s="25">
        <f>L484*VLOOKUP(D484,Lookups!$A$5:$E$10,5,FALSE)</f>
        <v/>
      </c>
    </row>
    <row r="485">
      <c r="A485" s="21" t="inlineStr">
        <is>
          <t>INV-10329</t>
        </is>
      </c>
      <c r="B485" s="22" t="n">
        <v>45809</v>
      </c>
      <c r="C485" s="21" t="inlineStr">
        <is>
          <t>R01</t>
        </is>
      </c>
      <c r="D485" s="21" t="inlineStr">
        <is>
          <t>P100</t>
        </is>
      </c>
      <c r="E485" s="21" t="n">
        <v>22</v>
      </c>
      <c r="F485" s="23" t="n">
        <v>0.05</v>
      </c>
      <c r="G485" s="24">
        <f>TEXT(B485,"mmm")</f>
        <v/>
      </c>
      <c r="H485" s="24">
        <f>HLOOKUP(C485,Lookups!$H$4:$K$5,2,FALSE)</f>
        <v/>
      </c>
      <c r="I485" s="24">
        <f>VLOOKUP(D485,Lookups!$A$5:$E$10,2,FALSE)</f>
        <v/>
      </c>
      <c r="J485" s="24">
        <f>VLOOKUP(D485,Lookups!$A$5:$E$10,3,FALSE)</f>
        <v/>
      </c>
      <c r="K485" s="25">
        <f>VLOOKUP(D485,Lookups!$A$5:$E$10,4,FALSE)</f>
        <v/>
      </c>
      <c r="L485" s="25">
        <f>E485*K485*(1-F485)</f>
        <v/>
      </c>
      <c r="M485" s="25">
        <f>L485*VLOOKUP(D485,Lookups!$A$5:$E$10,5,FALSE)</f>
        <v/>
      </c>
    </row>
    <row r="486">
      <c r="A486" s="21" t="inlineStr">
        <is>
          <t>INV-10848</t>
        </is>
      </c>
      <c r="B486" s="22" t="n">
        <v>45809</v>
      </c>
      <c r="C486" s="21" t="inlineStr">
        <is>
          <t>R01</t>
        </is>
      </c>
      <c r="D486" s="21" t="inlineStr">
        <is>
          <t>P200</t>
        </is>
      </c>
      <c r="E486" s="21" t="n">
        <v>18</v>
      </c>
      <c r="F486" s="23" t="n">
        <v>0.1</v>
      </c>
      <c r="G486" s="24">
        <f>TEXT(B486,"mmm")</f>
        <v/>
      </c>
      <c r="H486" s="24">
        <f>HLOOKUP(C486,Lookups!$H$4:$K$5,2,FALSE)</f>
        <v/>
      </c>
      <c r="I486" s="24">
        <f>VLOOKUP(D486,Lookups!$A$5:$E$10,2,FALSE)</f>
        <v/>
      </c>
      <c r="J486" s="24">
        <f>VLOOKUP(D486,Lookups!$A$5:$E$10,3,FALSE)</f>
        <v/>
      </c>
      <c r="K486" s="25">
        <f>VLOOKUP(D486,Lookups!$A$5:$E$10,4,FALSE)</f>
        <v/>
      </c>
      <c r="L486" s="25">
        <f>E486*K486*(1-F486)</f>
        <v/>
      </c>
      <c r="M486" s="25">
        <f>L486*VLOOKUP(D486,Lookups!$A$5:$E$10,5,FALSE)</f>
        <v/>
      </c>
    </row>
    <row r="487">
      <c r="A487" s="21" t="inlineStr">
        <is>
          <t>INV-10201</t>
        </is>
      </c>
      <c r="B487" s="22" t="n">
        <v>45810</v>
      </c>
      <c r="C487" s="21" t="inlineStr">
        <is>
          <t>R04</t>
        </is>
      </c>
      <c r="D487" s="21" t="inlineStr">
        <is>
          <t>P500</t>
        </is>
      </c>
      <c r="E487" s="21" t="n">
        <v>5</v>
      </c>
      <c r="F487" s="23" t="n">
        <v>0.1</v>
      </c>
      <c r="G487" s="24">
        <f>TEXT(B487,"mmm")</f>
        <v/>
      </c>
      <c r="H487" s="24">
        <f>HLOOKUP(C487,Lookups!$H$4:$K$5,2,FALSE)</f>
        <v/>
      </c>
      <c r="I487" s="24">
        <f>VLOOKUP(D487,Lookups!$A$5:$E$10,2,FALSE)</f>
        <v/>
      </c>
      <c r="J487" s="24">
        <f>VLOOKUP(D487,Lookups!$A$5:$E$10,3,FALSE)</f>
        <v/>
      </c>
      <c r="K487" s="25">
        <f>VLOOKUP(D487,Lookups!$A$5:$E$10,4,FALSE)</f>
        <v/>
      </c>
      <c r="L487" s="25">
        <f>E487*K487*(1-F487)</f>
        <v/>
      </c>
      <c r="M487" s="25">
        <f>L487*VLOOKUP(D487,Lookups!$A$5:$E$10,5,FALSE)</f>
        <v/>
      </c>
    </row>
    <row r="488">
      <c r="A488" s="21" t="inlineStr">
        <is>
          <t>INV-10404</t>
        </is>
      </c>
      <c r="B488" s="22" t="n">
        <v>45810</v>
      </c>
      <c r="C488" s="21" t="inlineStr">
        <is>
          <t>R01</t>
        </is>
      </c>
      <c r="D488" s="21" t="inlineStr">
        <is>
          <t>P400</t>
        </is>
      </c>
      <c r="E488" s="21" t="n">
        <v>23</v>
      </c>
      <c r="F488" s="23" t="n">
        <v>0</v>
      </c>
      <c r="G488" s="24">
        <f>TEXT(B488,"mmm")</f>
        <v/>
      </c>
      <c r="H488" s="24">
        <f>HLOOKUP(C488,Lookups!$H$4:$K$5,2,FALSE)</f>
        <v/>
      </c>
      <c r="I488" s="24">
        <f>VLOOKUP(D488,Lookups!$A$5:$E$10,2,FALSE)</f>
        <v/>
      </c>
      <c r="J488" s="24">
        <f>VLOOKUP(D488,Lookups!$A$5:$E$10,3,FALSE)</f>
        <v/>
      </c>
      <c r="K488" s="25">
        <f>VLOOKUP(D488,Lookups!$A$5:$E$10,4,FALSE)</f>
        <v/>
      </c>
      <c r="L488" s="25">
        <f>E488*K488*(1-F488)</f>
        <v/>
      </c>
      <c r="M488" s="25">
        <f>L488*VLOOKUP(D488,Lookups!$A$5:$E$10,5,FALSE)</f>
        <v/>
      </c>
    </row>
    <row r="489">
      <c r="A489" s="21" t="inlineStr">
        <is>
          <t>INV-10457</t>
        </is>
      </c>
      <c r="B489" s="22" t="n">
        <v>45810</v>
      </c>
      <c r="C489" s="21" t="inlineStr">
        <is>
          <t>R01</t>
        </is>
      </c>
      <c r="D489" s="21" t="inlineStr">
        <is>
          <t>P500</t>
        </is>
      </c>
      <c r="E489" s="21" t="n">
        <v>11</v>
      </c>
      <c r="F489" s="23" t="n">
        <v>0.05</v>
      </c>
      <c r="G489" s="24">
        <f>TEXT(B489,"mmm")</f>
        <v/>
      </c>
      <c r="H489" s="24">
        <f>HLOOKUP(C489,Lookups!$H$4:$K$5,2,FALSE)</f>
        <v/>
      </c>
      <c r="I489" s="24">
        <f>VLOOKUP(D489,Lookups!$A$5:$E$10,2,FALSE)</f>
        <v/>
      </c>
      <c r="J489" s="24">
        <f>VLOOKUP(D489,Lookups!$A$5:$E$10,3,FALSE)</f>
        <v/>
      </c>
      <c r="K489" s="25">
        <f>VLOOKUP(D489,Lookups!$A$5:$E$10,4,FALSE)</f>
        <v/>
      </c>
      <c r="L489" s="25">
        <f>E489*K489*(1-F489)</f>
        <v/>
      </c>
      <c r="M489" s="25">
        <f>L489*VLOOKUP(D489,Lookups!$A$5:$E$10,5,FALSE)</f>
        <v/>
      </c>
    </row>
    <row r="490">
      <c r="A490" s="21" t="inlineStr">
        <is>
          <t>INV-10489</t>
        </is>
      </c>
      <c r="B490" s="22" t="n">
        <v>45810</v>
      </c>
      <c r="C490" s="21" t="inlineStr">
        <is>
          <t>R04</t>
        </is>
      </c>
      <c r="D490" s="21" t="inlineStr">
        <is>
          <t>P400</t>
        </is>
      </c>
      <c r="E490" s="21" t="n">
        <v>18</v>
      </c>
      <c r="F490" s="23" t="n">
        <v>0.1</v>
      </c>
      <c r="G490" s="24">
        <f>TEXT(B490,"mmm")</f>
        <v/>
      </c>
      <c r="H490" s="24">
        <f>HLOOKUP(C490,Lookups!$H$4:$K$5,2,FALSE)</f>
        <v/>
      </c>
      <c r="I490" s="24">
        <f>VLOOKUP(D490,Lookups!$A$5:$E$10,2,FALSE)</f>
        <v/>
      </c>
      <c r="J490" s="24">
        <f>VLOOKUP(D490,Lookups!$A$5:$E$10,3,FALSE)</f>
        <v/>
      </c>
      <c r="K490" s="25">
        <f>VLOOKUP(D490,Lookups!$A$5:$E$10,4,FALSE)</f>
        <v/>
      </c>
      <c r="L490" s="25">
        <f>E490*K490*(1-F490)</f>
        <v/>
      </c>
      <c r="M490" s="25">
        <f>L490*VLOOKUP(D490,Lookups!$A$5:$E$10,5,FALSE)</f>
        <v/>
      </c>
    </row>
    <row r="491">
      <c r="A491" s="21" t="inlineStr">
        <is>
          <t>INV-10806</t>
        </is>
      </c>
      <c r="B491" s="22" t="n">
        <v>45810</v>
      </c>
      <c r="C491" s="21" t="inlineStr">
        <is>
          <t>R01</t>
        </is>
      </c>
      <c r="D491" s="21" t="inlineStr">
        <is>
          <t>P600</t>
        </is>
      </c>
      <c r="E491" s="21" t="n">
        <v>16</v>
      </c>
      <c r="F491" s="23" t="n">
        <v>0</v>
      </c>
      <c r="G491" s="24">
        <f>TEXT(B491,"mmm")</f>
        <v/>
      </c>
      <c r="H491" s="24">
        <f>HLOOKUP(C491,Lookups!$H$4:$K$5,2,FALSE)</f>
        <v/>
      </c>
      <c r="I491" s="24">
        <f>VLOOKUP(D491,Lookups!$A$5:$E$10,2,FALSE)</f>
        <v/>
      </c>
      <c r="J491" s="24">
        <f>VLOOKUP(D491,Lookups!$A$5:$E$10,3,FALSE)</f>
        <v/>
      </c>
      <c r="K491" s="25">
        <f>VLOOKUP(D491,Lookups!$A$5:$E$10,4,FALSE)</f>
        <v/>
      </c>
      <c r="L491" s="25">
        <f>E491*K491*(1-F491)</f>
        <v/>
      </c>
      <c r="M491" s="25">
        <f>L491*VLOOKUP(D491,Lookups!$A$5:$E$10,5,FALSE)</f>
        <v/>
      </c>
    </row>
    <row r="492">
      <c r="A492" s="21" t="inlineStr">
        <is>
          <t>INV-10502</t>
        </is>
      </c>
      <c r="B492" s="22" t="n">
        <v>45811</v>
      </c>
      <c r="C492" s="21" t="inlineStr">
        <is>
          <t>R02</t>
        </is>
      </c>
      <c r="D492" s="21" t="inlineStr">
        <is>
          <t>P400</t>
        </is>
      </c>
      <c r="E492" s="21" t="n">
        <v>25</v>
      </c>
      <c r="F492" s="23" t="n">
        <v>0.1</v>
      </c>
      <c r="G492" s="24">
        <f>TEXT(B492,"mmm")</f>
        <v/>
      </c>
      <c r="H492" s="24">
        <f>HLOOKUP(C492,Lookups!$H$4:$K$5,2,FALSE)</f>
        <v/>
      </c>
      <c r="I492" s="24">
        <f>VLOOKUP(D492,Lookups!$A$5:$E$10,2,FALSE)</f>
        <v/>
      </c>
      <c r="J492" s="24">
        <f>VLOOKUP(D492,Lookups!$A$5:$E$10,3,FALSE)</f>
        <v/>
      </c>
      <c r="K492" s="25">
        <f>VLOOKUP(D492,Lookups!$A$5:$E$10,4,FALSE)</f>
        <v/>
      </c>
      <c r="L492" s="25">
        <f>E492*K492*(1-F492)</f>
        <v/>
      </c>
      <c r="M492" s="25">
        <f>L492*VLOOKUP(D492,Lookups!$A$5:$E$10,5,FALSE)</f>
        <v/>
      </c>
    </row>
    <row r="493">
      <c r="A493" s="21" t="inlineStr">
        <is>
          <t>INV-10785</t>
        </is>
      </c>
      <c r="B493" s="22" t="n">
        <v>45811</v>
      </c>
      <c r="C493" s="21" t="inlineStr">
        <is>
          <t>R04</t>
        </is>
      </c>
      <c r="D493" s="21" t="inlineStr">
        <is>
          <t>P600</t>
        </is>
      </c>
      <c r="E493" s="21" t="n">
        <v>25</v>
      </c>
      <c r="F493" s="23" t="n">
        <v>0.05</v>
      </c>
      <c r="G493" s="24">
        <f>TEXT(B493,"mmm")</f>
        <v/>
      </c>
      <c r="H493" s="24">
        <f>HLOOKUP(C493,Lookups!$H$4:$K$5,2,FALSE)</f>
        <v/>
      </c>
      <c r="I493" s="24">
        <f>VLOOKUP(D493,Lookups!$A$5:$E$10,2,FALSE)</f>
        <v/>
      </c>
      <c r="J493" s="24">
        <f>VLOOKUP(D493,Lookups!$A$5:$E$10,3,FALSE)</f>
        <v/>
      </c>
      <c r="K493" s="25">
        <f>VLOOKUP(D493,Lookups!$A$5:$E$10,4,FALSE)</f>
        <v/>
      </c>
      <c r="L493" s="25">
        <f>E493*K493*(1-F493)</f>
        <v/>
      </c>
      <c r="M493" s="25">
        <f>L493*VLOOKUP(D493,Lookups!$A$5:$E$10,5,FALSE)</f>
        <v/>
      </c>
    </row>
    <row r="494">
      <c r="A494" s="21" t="inlineStr">
        <is>
          <t>INV-10559</t>
        </is>
      </c>
      <c r="B494" s="22" t="n">
        <v>45812</v>
      </c>
      <c r="C494" s="21" t="inlineStr">
        <is>
          <t>R04</t>
        </is>
      </c>
      <c r="D494" s="21" t="inlineStr">
        <is>
          <t>P300</t>
        </is>
      </c>
      <c r="E494" s="21" t="n">
        <v>5</v>
      </c>
      <c r="F494" s="23" t="n">
        <v>0</v>
      </c>
      <c r="G494" s="24">
        <f>TEXT(B494,"mmm")</f>
        <v/>
      </c>
      <c r="H494" s="24">
        <f>HLOOKUP(C494,Lookups!$H$4:$K$5,2,FALSE)</f>
        <v/>
      </c>
      <c r="I494" s="24">
        <f>VLOOKUP(D494,Lookups!$A$5:$E$10,2,FALSE)</f>
        <v/>
      </c>
      <c r="J494" s="24">
        <f>VLOOKUP(D494,Lookups!$A$5:$E$10,3,FALSE)</f>
        <v/>
      </c>
      <c r="K494" s="25">
        <f>VLOOKUP(D494,Lookups!$A$5:$E$10,4,FALSE)</f>
        <v/>
      </c>
      <c r="L494" s="25">
        <f>E494*K494*(1-F494)</f>
        <v/>
      </c>
      <c r="M494" s="25">
        <f>L494*VLOOKUP(D494,Lookups!$A$5:$E$10,5,FALSE)</f>
        <v/>
      </c>
    </row>
    <row r="495">
      <c r="A495" s="21" t="inlineStr">
        <is>
          <t>INV-10804</t>
        </is>
      </c>
      <c r="B495" s="22" t="n">
        <v>45812</v>
      </c>
      <c r="C495" s="21" t="inlineStr">
        <is>
          <t>R04</t>
        </is>
      </c>
      <c r="D495" s="21" t="inlineStr">
        <is>
          <t>P600</t>
        </is>
      </c>
      <c r="E495" s="21" t="n">
        <v>19</v>
      </c>
      <c r="F495" s="23" t="n">
        <v>0</v>
      </c>
      <c r="G495" s="24">
        <f>TEXT(B495,"mmm")</f>
        <v/>
      </c>
      <c r="H495" s="24">
        <f>HLOOKUP(C495,Lookups!$H$4:$K$5,2,FALSE)</f>
        <v/>
      </c>
      <c r="I495" s="24">
        <f>VLOOKUP(D495,Lookups!$A$5:$E$10,2,FALSE)</f>
        <v/>
      </c>
      <c r="J495" s="24">
        <f>VLOOKUP(D495,Lookups!$A$5:$E$10,3,FALSE)</f>
        <v/>
      </c>
      <c r="K495" s="25">
        <f>VLOOKUP(D495,Lookups!$A$5:$E$10,4,FALSE)</f>
        <v/>
      </c>
      <c r="L495" s="25">
        <f>E495*K495*(1-F495)</f>
        <v/>
      </c>
      <c r="M495" s="25">
        <f>L495*VLOOKUP(D495,Lookups!$A$5:$E$10,5,FALSE)</f>
        <v/>
      </c>
    </row>
    <row r="496">
      <c r="A496" s="21" t="inlineStr">
        <is>
          <t>INV-10843</t>
        </is>
      </c>
      <c r="B496" s="22" t="n">
        <v>45812</v>
      </c>
      <c r="C496" s="21" t="inlineStr">
        <is>
          <t>R01</t>
        </is>
      </c>
      <c r="D496" s="21" t="inlineStr">
        <is>
          <t>P400</t>
        </is>
      </c>
      <c r="E496" s="21" t="n">
        <v>22</v>
      </c>
      <c r="F496" s="23" t="n">
        <v>0.05</v>
      </c>
      <c r="G496" s="24">
        <f>TEXT(B496,"mmm")</f>
        <v/>
      </c>
      <c r="H496" s="24">
        <f>HLOOKUP(C496,Lookups!$H$4:$K$5,2,FALSE)</f>
        <v/>
      </c>
      <c r="I496" s="24">
        <f>VLOOKUP(D496,Lookups!$A$5:$E$10,2,FALSE)</f>
        <v/>
      </c>
      <c r="J496" s="24">
        <f>VLOOKUP(D496,Lookups!$A$5:$E$10,3,FALSE)</f>
        <v/>
      </c>
      <c r="K496" s="25">
        <f>VLOOKUP(D496,Lookups!$A$5:$E$10,4,FALSE)</f>
        <v/>
      </c>
      <c r="L496" s="25">
        <f>E496*K496*(1-F496)</f>
        <v/>
      </c>
      <c r="M496" s="25">
        <f>L496*VLOOKUP(D496,Lookups!$A$5:$E$10,5,FALSE)</f>
        <v/>
      </c>
    </row>
    <row r="497">
      <c r="A497" s="21" t="inlineStr">
        <is>
          <t>INV-11144</t>
        </is>
      </c>
      <c r="B497" s="22" t="n">
        <v>45812</v>
      </c>
      <c r="C497" s="21" t="inlineStr">
        <is>
          <t>R03</t>
        </is>
      </c>
      <c r="D497" s="21" t="inlineStr">
        <is>
          <t>P100</t>
        </is>
      </c>
      <c r="E497" s="21" t="n">
        <v>8</v>
      </c>
      <c r="F497" s="23" t="n">
        <v>0</v>
      </c>
      <c r="G497" s="24">
        <f>TEXT(B497,"mmm")</f>
        <v/>
      </c>
      <c r="H497" s="24">
        <f>HLOOKUP(C497,Lookups!$H$4:$K$5,2,FALSE)</f>
        <v/>
      </c>
      <c r="I497" s="24">
        <f>VLOOKUP(D497,Lookups!$A$5:$E$10,2,FALSE)</f>
        <v/>
      </c>
      <c r="J497" s="24">
        <f>VLOOKUP(D497,Lookups!$A$5:$E$10,3,FALSE)</f>
        <v/>
      </c>
      <c r="K497" s="25">
        <f>VLOOKUP(D497,Lookups!$A$5:$E$10,4,FALSE)</f>
        <v/>
      </c>
      <c r="L497" s="25">
        <f>E497*K497*(1-F497)</f>
        <v/>
      </c>
      <c r="M497" s="25">
        <f>L497*VLOOKUP(D497,Lookups!$A$5:$E$10,5,FALSE)</f>
        <v/>
      </c>
    </row>
    <row r="498">
      <c r="A498" s="21" t="inlineStr">
        <is>
          <t>INV-10395</t>
        </is>
      </c>
      <c r="B498" s="22" t="n">
        <v>45813</v>
      </c>
      <c r="C498" s="21" t="inlineStr">
        <is>
          <t>R02</t>
        </is>
      </c>
      <c r="D498" s="21" t="inlineStr">
        <is>
          <t>P200</t>
        </is>
      </c>
      <c r="E498" s="21" t="n">
        <v>11</v>
      </c>
      <c r="F498" s="23" t="n">
        <v>0</v>
      </c>
      <c r="G498" s="24">
        <f>TEXT(B498,"mmm")</f>
        <v/>
      </c>
      <c r="H498" s="24">
        <f>HLOOKUP(C498,Lookups!$H$4:$K$5,2,FALSE)</f>
        <v/>
      </c>
      <c r="I498" s="24">
        <f>VLOOKUP(D498,Lookups!$A$5:$E$10,2,FALSE)</f>
        <v/>
      </c>
      <c r="J498" s="24">
        <f>VLOOKUP(D498,Lookups!$A$5:$E$10,3,FALSE)</f>
        <v/>
      </c>
      <c r="K498" s="25">
        <f>VLOOKUP(D498,Lookups!$A$5:$E$10,4,FALSE)</f>
        <v/>
      </c>
      <c r="L498" s="25">
        <f>E498*K498*(1-F498)</f>
        <v/>
      </c>
      <c r="M498" s="25">
        <f>L498*VLOOKUP(D498,Lookups!$A$5:$E$10,5,FALSE)</f>
        <v/>
      </c>
    </row>
    <row r="499">
      <c r="A499" s="21" t="inlineStr">
        <is>
          <t>INV-11131</t>
        </is>
      </c>
      <c r="B499" s="22" t="n">
        <v>45813</v>
      </c>
      <c r="C499" s="21" t="inlineStr">
        <is>
          <t>R02</t>
        </is>
      </c>
      <c r="D499" s="21" t="inlineStr">
        <is>
          <t>P100</t>
        </is>
      </c>
      <c r="E499" s="21" t="n">
        <v>17</v>
      </c>
      <c r="F499" s="23" t="n">
        <v>0</v>
      </c>
      <c r="G499" s="24">
        <f>TEXT(B499,"mmm")</f>
        <v/>
      </c>
      <c r="H499" s="24">
        <f>HLOOKUP(C499,Lookups!$H$4:$K$5,2,FALSE)</f>
        <v/>
      </c>
      <c r="I499" s="24">
        <f>VLOOKUP(D499,Lookups!$A$5:$E$10,2,FALSE)</f>
        <v/>
      </c>
      <c r="J499" s="24">
        <f>VLOOKUP(D499,Lookups!$A$5:$E$10,3,FALSE)</f>
        <v/>
      </c>
      <c r="K499" s="25">
        <f>VLOOKUP(D499,Lookups!$A$5:$E$10,4,FALSE)</f>
        <v/>
      </c>
      <c r="L499" s="25">
        <f>E499*K499*(1-F499)</f>
        <v/>
      </c>
      <c r="M499" s="25">
        <f>L499*VLOOKUP(D499,Lookups!$A$5:$E$10,5,FALSE)</f>
        <v/>
      </c>
    </row>
    <row r="500">
      <c r="A500" s="21" t="inlineStr">
        <is>
          <t>INV-10086</t>
        </is>
      </c>
      <c r="B500" s="22" t="n">
        <v>45814</v>
      </c>
      <c r="C500" s="21" t="inlineStr">
        <is>
          <t>R02</t>
        </is>
      </c>
      <c r="D500" s="21" t="inlineStr">
        <is>
          <t>P200</t>
        </is>
      </c>
      <c r="E500" s="21" t="n">
        <v>1</v>
      </c>
      <c r="F500" s="23" t="n">
        <v>0</v>
      </c>
      <c r="G500" s="24">
        <f>TEXT(B500,"mmm")</f>
        <v/>
      </c>
      <c r="H500" s="24">
        <f>HLOOKUP(C500,Lookups!$H$4:$K$5,2,FALSE)</f>
        <v/>
      </c>
      <c r="I500" s="24">
        <f>VLOOKUP(D500,Lookups!$A$5:$E$10,2,FALSE)</f>
        <v/>
      </c>
      <c r="J500" s="24">
        <f>VLOOKUP(D500,Lookups!$A$5:$E$10,3,FALSE)</f>
        <v/>
      </c>
      <c r="K500" s="25">
        <f>VLOOKUP(D500,Lookups!$A$5:$E$10,4,FALSE)</f>
        <v/>
      </c>
      <c r="L500" s="25">
        <f>E500*K500*(1-F500)</f>
        <v/>
      </c>
      <c r="M500" s="25">
        <f>L500*VLOOKUP(D500,Lookups!$A$5:$E$10,5,FALSE)</f>
        <v/>
      </c>
    </row>
    <row r="501">
      <c r="A501" s="21" t="inlineStr">
        <is>
          <t>INV-10152</t>
        </is>
      </c>
      <c r="B501" s="22" t="n">
        <v>45814</v>
      </c>
      <c r="C501" s="21" t="inlineStr">
        <is>
          <t>R03</t>
        </is>
      </c>
      <c r="D501" s="21" t="inlineStr">
        <is>
          <t>P600</t>
        </is>
      </c>
      <c r="E501" s="21" t="n">
        <v>16</v>
      </c>
      <c r="F501" s="23" t="n">
        <v>0.05</v>
      </c>
      <c r="G501" s="24">
        <f>TEXT(B501,"mmm")</f>
        <v/>
      </c>
      <c r="H501" s="24">
        <f>HLOOKUP(C501,Lookups!$H$4:$K$5,2,FALSE)</f>
        <v/>
      </c>
      <c r="I501" s="24">
        <f>VLOOKUP(D501,Lookups!$A$5:$E$10,2,FALSE)</f>
        <v/>
      </c>
      <c r="J501" s="24">
        <f>VLOOKUP(D501,Lookups!$A$5:$E$10,3,FALSE)</f>
        <v/>
      </c>
      <c r="K501" s="25">
        <f>VLOOKUP(D501,Lookups!$A$5:$E$10,4,FALSE)</f>
        <v/>
      </c>
      <c r="L501" s="25">
        <f>E501*K501*(1-F501)</f>
        <v/>
      </c>
      <c r="M501" s="25">
        <f>L501*VLOOKUP(D501,Lookups!$A$5:$E$10,5,FALSE)</f>
        <v/>
      </c>
    </row>
    <row r="502">
      <c r="A502" s="21" t="inlineStr">
        <is>
          <t>INV-10168</t>
        </is>
      </c>
      <c r="B502" s="22" t="n">
        <v>45814</v>
      </c>
      <c r="C502" s="21" t="inlineStr">
        <is>
          <t>R01</t>
        </is>
      </c>
      <c r="D502" s="21" t="inlineStr">
        <is>
          <t>P500</t>
        </is>
      </c>
      <c r="E502" s="21" t="n">
        <v>20</v>
      </c>
      <c r="F502" s="23" t="n">
        <v>0</v>
      </c>
      <c r="G502" s="24">
        <f>TEXT(B502,"mmm")</f>
        <v/>
      </c>
      <c r="H502" s="24">
        <f>HLOOKUP(C502,Lookups!$H$4:$K$5,2,FALSE)</f>
        <v/>
      </c>
      <c r="I502" s="24">
        <f>VLOOKUP(D502,Lookups!$A$5:$E$10,2,FALSE)</f>
        <v/>
      </c>
      <c r="J502" s="24">
        <f>VLOOKUP(D502,Lookups!$A$5:$E$10,3,FALSE)</f>
        <v/>
      </c>
      <c r="K502" s="25">
        <f>VLOOKUP(D502,Lookups!$A$5:$E$10,4,FALSE)</f>
        <v/>
      </c>
      <c r="L502" s="25">
        <f>E502*K502*(1-F502)</f>
        <v/>
      </c>
      <c r="M502" s="25">
        <f>L502*VLOOKUP(D502,Lookups!$A$5:$E$10,5,FALSE)</f>
        <v/>
      </c>
    </row>
    <row r="503">
      <c r="A503" s="21" t="inlineStr">
        <is>
          <t>INV-10601</t>
        </is>
      </c>
      <c r="B503" s="22" t="n">
        <v>45814</v>
      </c>
      <c r="C503" s="21" t="inlineStr">
        <is>
          <t>R02</t>
        </is>
      </c>
      <c r="D503" s="21" t="inlineStr">
        <is>
          <t>P100</t>
        </is>
      </c>
      <c r="E503" s="21" t="n">
        <v>12</v>
      </c>
      <c r="F503" s="23" t="n">
        <v>0</v>
      </c>
      <c r="G503" s="24">
        <f>TEXT(B503,"mmm")</f>
        <v/>
      </c>
      <c r="H503" s="24">
        <f>HLOOKUP(C503,Lookups!$H$4:$K$5,2,FALSE)</f>
        <v/>
      </c>
      <c r="I503" s="24">
        <f>VLOOKUP(D503,Lookups!$A$5:$E$10,2,FALSE)</f>
        <v/>
      </c>
      <c r="J503" s="24">
        <f>VLOOKUP(D503,Lookups!$A$5:$E$10,3,FALSE)</f>
        <v/>
      </c>
      <c r="K503" s="25">
        <f>VLOOKUP(D503,Lookups!$A$5:$E$10,4,FALSE)</f>
        <v/>
      </c>
      <c r="L503" s="25">
        <f>E503*K503*(1-F503)</f>
        <v/>
      </c>
      <c r="M503" s="25">
        <f>L503*VLOOKUP(D503,Lookups!$A$5:$E$10,5,FALSE)</f>
        <v/>
      </c>
    </row>
    <row r="504">
      <c r="A504" s="21" t="inlineStr">
        <is>
          <t>INV-10942</t>
        </is>
      </c>
      <c r="B504" s="22" t="n">
        <v>45814</v>
      </c>
      <c r="C504" s="21" t="inlineStr">
        <is>
          <t>R03</t>
        </is>
      </c>
      <c r="D504" s="21" t="inlineStr">
        <is>
          <t>P200</t>
        </is>
      </c>
      <c r="E504" s="21" t="n">
        <v>7</v>
      </c>
      <c r="F504" s="23" t="n">
        <v>0.1</v>
      </c>
      <c r="G504" s="24">
        <f>TEXT(B504,"mmm")</f>
        <v/>
      </c>
      <c r="H504" s="24">
        <f>HLOOKUP(C504,Lookups!$H$4:$K$5,2,FALSE)</f>
        <v/>
      </c>
      <c r="I504" s="24">
        <f>VLOOKUP(D504,Lookups!$A$5:$E$10,2,FALSE)</f>
        <v/>
      </c>
      <c r="J504" s="24">
        <f>VLOOKUP(D504,Lookups!$A$5:$E$10,3,FALSE)</f>
        <v/>
      </c>
      <c r="K504" s="25">
        <f>VLOOKUP(D504,Lookups!$A$5:$E$10,4,FALSE)</f>
        <v/>
      </c>
      <c r="L504" s="25">
        <f>E504*K504*(1-F504)</f>
        <v/>
      </c>
      <c r="M504" s="25">
        <f>L504*VLOOKUP(D504,Lookups!$A$5:$E$10,5,FALSE)</f>
        <v/>
      </c>
    </row>
    <row r="505">
      <c r="A505" s="21" t="inlineStr">
        <is>
          <t>INV-10552</t>
        </is>
      </c>
      <c r="B505" s="22" t="n">
        <v>45815</v>
      </c>
      <c r="C505" s="21" t="inlineStr">
        <is>
          <t>R03</t>
        </is>
      </c>
      <c r="D505" s="21" t="inlineStr">
        <is>
          <t>P400</t>
        </is>
      </c>
      <c r="E505" s="21" t="n">
        <v>25</v>
      </c>
      <c r="F505" s="23" t="n">
        <v>0.05</v>
      </c>
      <c r="G505" s="24">
        <f>TEXT(B505,"mmm")</f>
        <v/>
      </c>
      <c r="H505" s="24">
        <f>HLOOKUP(C505,Lookups!$H$4:$K$5,2,FALSE)</f>
        <v/>
      </c>
      <c r="I505" s="24">
        <f>VLOOKUP(D505,Lookups!$A$5:$E$10,2,FALSE)</f>
        <v/>
      </c>
      <c r="J505" s="24">
        <f>VLOOKUP(D505,Lookups!$A$5:$E$10,3,FALSE)</f>
        <v/>
      </c>
      <c r="K505" s="25">
        <f>VLOOKUP(D505,Lookups!$A$5:$E$10,4,FALSE)</f>
        <v/>
      </c>
      <c r="L505" s="25">
        <f>E505*K505*(1-F505)</f>
        <v/>
      </c>
      <c r="M505" s="25">
        <f>L505*VLOOKUP(D505,Lookups!$A$5:$E$10,5,FALSE)</f>
        <v/>
      </c>
    </row>
    <row r="506">
      <c r="A506" s="21" t="inlineStr">
        <is>
          <t>INV-10324</t>
        </is>
      </c>
      <c r="B506" s="22" t="n">
        <v>45816</v>
      </c>
      <c r="C506" s="21" t="inlineStr">
        <is>
          <t>R04</t>
        </is>
      </c>
      <c r="D506" s="21" t="inlineStr">
        <is>
          <t>P500</t>
        </is>
      </c>
      <c r="E506" s="21" t="n">
        <v>21</v>
      </c>
      <c r="F506" s="23" t="n">
        <v>0.05</v>
      </c>
      <c r="G506" s="24">
        <f>TEXT(B506,"mmm")</f>
        <v/>
      </c>
      <c r="H506" s="24">
        <f>HLOOKUP(C506,Lookups!$H$4:$K$5,2,FALSE)</f>
        <v/>
      </c>
      <c r="I506" s="24">
        <f>VLOOKUP(D506,Lookups!$A$5:$E$10,2,FALSE)</f>
        <v/>
      </c>
      <c r="J506" s="24">
        <f>VLOOKUP(D506,Lookups!$A$5:$E$10,3,FALSE)</f>
        <v/>
      </c>
      <c r="K506" s="25">
        <f>VLOOKUP(D506,Lookups!$A$5:$E$10,4,FALSE)</f>
        <v/>
      </c>
      <c r="L506" s="25">
        <f>E506*K506*(1-F506)</f>
        <v/>
      </c>
      <c r="M506" s="25">
        <f>L506*VLOOKUP(D506,Lookups!$A$5:$E$10,5,FALSE)</f>
        <v/>
      </c>
    </row>
    <row r="507">
      <c r="A507" s="21" t="inlineStr">
        <is>
          <t>INV-10664</t>
        </is>
      </c>
      <c r="B507" s="22" t="n">
        <v>45816</v>
      </c>
      <c r="C507" s="21" t="inlineStr">
        <is>
          <t>R04</t>
        </is>
      </c>
      <c r="D507" s="21" t="inlineStr">
        <is>
          <t>P600</t>
        </is>
      </c>
      <c r="E507" s="21" t="n">
        <v>24</v>
      </c>
      <c r="F507" s="23" t="n">
        <v>0</v>
      </c>
      <c r="G507" s="24">
        <f>TEXT(B507,"mmm")</f>
        <v/>
      </c>
      <c r="H507" s="24">
        <f>HLOOKUP(C507,Lookups!$H$4:$K$5,2,FALSE)</f>
        <v/>
      </c>
      <c r="I507" s="24">
        <f>VLOOKUP(D507,Lookups!$A$5:$E$10,2,FALSE)</f>
        <v/>
      </c>
      <c r="J507" s="24">
        <f>VLOOKUP(D507,Lookups!$A$5:$E$10,3,FALSE)</f>
        <v/>
      </c>
      <c r="K507" s="25">
        <f>VLOOKUP(D507,Lookups!$A$5:$E$10,4,FALSE)</f>
        <v/>
      </c>
      <c r="L507" s="25">
        <f>E507*K507*(1-F507)</f>
        <v/>
      </c>
      <c r="M507" s="25">
        <f>L507*VLOOKUP(D507,Lookups!$A$5:$E$10,5,FALSE)</f>
        <v/>
      </c>
    </row>
    <row r="508">
      <c r="A508" s="21" t="inlineStr">
        <is>
          <t>INV-10135</t>
        </is>
      </c>
      <c r="B508" s="22" t="n">
        <v>45817</v>
      </c>
      <c r="C508" s="21" t="inlineStr">
        <is>
          <t>R01</t>
        </is>
      </c>
      <c r="D508" s="21" t="inlineStr">
        <is>
          <t>P100</t>
        </is>
      </c>
      <c r="E508" s="21" t="n">
        <v>10</v>
      </c>
      <c r="F508" s="23" t="n">
        <v>0.1</v>
      </c>
      <c r="G508" s="24">
        <f>TEXT(B508,"mmm")</f>
        <v/>
      </c>
      <c r="H508" s="24">
        <f>HLOOKUP(C508,Lookups!$H$4:$K$5,2,FALSE)</f>
        <v/>
      </c>
      <c r="I508" s="24">
        <f>VLOOKUP(D508,Lookups!$A$5:$E$10,2,FALSE)</f>
        <v/>
      </c>
      <c r="J508" s="24">
        <f>VLOOKUP(D508,Lookups!$A$5:$E$10,3,FALSE)</f>
        <v/>
      </c>
      <c r="K508" s="25">
        <f>VLOOKUP(D508,Lookups!$A$5:$E$10,4,FALSE)</f>
        <v/>
      </c>
      <c r="L508" s="25">
        <f>E508*K508*(1-F508)</f>
        <v/>
      </c>
      <c r="M508" s="25">
        <f>L508*VLOOKUP(D508,Lookups!$A$5:$E$10,5,FALSE)</f>
        <v/>
      </c>
    </row>
    <row r="509">
      <c r="A509" s="21" t="inlineStr">
        <is>
          <t>INV-10194</t>
        </is>
      </c>
      <c r="B509" s="22" t="n">
        <v>45817</v>
      </c>
      <c r="C509" s="21" t="inlineStr">
        <is>
          <t>R01</t>
        </is>
      </c>
      <c r="D509" s="21" t="inlineStr">
        <is>
          <t>P500</t>
        </is>
      </c>
      <c r="E509" s="21" t="n">
        <v>18</v>
      </c>
      <c r="F509" s="23" t="n">
        <v>0.1</v>
      </c>
      <c r="G509" s="24">
        <f>TEXT(B509,"mmm")</f>
        <v/>
      </c>
      <c r="H509" s="24">
        <f>HLOOKUP(C509,Lookups!$H$4:$K$5,2,FALSE)</f>
        <v/>
      </c>
      <c r="I509" s="24">
        <f>VLOOKUP(D509,Lookups!$A$5:$E$10,2,FALSE)</f>
        <v/>
      </c>
      <c r="J509" s="24">
        <f>VLOOKUP(D509,Lookups!$A$5:$E$10,3,FALSE)</f>
        <v/>
      </c>
      <c r="K509" s="25">
        <f>VLOOKUP(D509,Lookups!$A$5:$E$10,4,FALSE)</f>
        <v/>
      </c>
      <c r="L509" s="25">
        <f>E509*K509*(1-F509)</f>
        <v/>
      </c>
      <c r="M509" s="25">
        <f>L509*VLOOKUP(D509,Lookups!$A$5:$E$10,5,FALSE)</f>
        <v/>
      </c>
    </row>
    <row r="510">
      <c r="A510" s="21" t="inlineStr">
        <is>
          <t>INV-10832</t>
        </is>
      </c>
      <c r="B510" s="22" t="n">
        <v>45817</v>
      </c>
      <c r="C510" s="21" t="inlineStr">
        <is>
          <t>R01</t>
        </is>
      </c>
      <c r="D510" s="21" t="inlineStr">
        <is>
          <t>P200</t>
        </is>
      </c>
      <c r="E510" s="21" t="n">
        <v>13</v>
      </c>
      <c r="F510" s="23" t="n">
        <v>0.05</v>
      </c>
      <c r="G510" s="24">
        <f>TEXT(B510,"mmm")</f>
        <v/>
      </c>
      <c r="H510" s="24">
        <f>HLOOKUP(C510,Lookups!$H$4:$K$5,2,FALSE)</f>
        <v/>
      </c>
      <c r="I510" s="24">
        <f>VLOOKUP(D510,Lookups!$A$5:$E$10,2,FALSE)</f>
        <v/>
      </c>
      <c r="J510" s="24">
        <f>VLOOKUP(D510,Lookups!$A$5:$E$10,3,FALSE)</f>
        <v/>
      </c>
      <c r="K510" s="25">
        <f>VLOOKUP(D510,Lookups!$A$5:$E$10,4,FALSE)</f>
        <v/>
      </c>
      <c r="L510" s="25">
        <f>E510*K510*(1-F510)</f>
        <v/>
      </c>
      <c r="M510" s="25">
        <f>L510*VLOOKUP(D510,Lookups!$A$5:$E$10,5,FALSE)</f>
        <v/>
      </c>
    </row>
    <row r="511">
      <c r="A511" s="21" t="inlineStr">
        <is>
          <t>INV-10058</t>
        </is>
      </c>
      <c r="B511" s="22" t="n">
        <v>45818</v>
      </c>
      <c r="C511" s="21" t="inlineStr">
        <is>
          <t>R01</t>
        </is>
      </c>
      <c r="D511" s="21" t="inlineStr">
        <is>
          <t>P100</t>
        </is>
      </c>
      <c r="E511" s="21" t="n">
        <v>19</v>
      </c>
      <c r="F511" s="23" t="n">
        <v>0.1</v>
      </c>
      <c r="G511" s="24">
        <f>TEXT(B511,"mmm")</f>
        <v/>
      </c>
      <c r="H511" s="24">
        <f>HLOOKUP(C511,Lookups!$H$4:$K$5,2,FALSE)</f>
        <v/>
      </c>
      <c r="I511" s="24">
        <f>VLOOKUP(D511,Lookups!$A$5:$E$10,2,FALSE)</f>
        <v/>
      </c>
      <c r="J511" s="24">
        <f>VLOOKUP(D511,Lookups!$A$5:$E$10,3,FALSE)</f>
        <v/>
      </c>
      <c r="K511" s="25">
        <f>VLOOKUP(D511,Lookups!$A$5:$E$10,4,FALSE)</f>
        <v/>
      </c>
      <c r="L511" s="25">
        <f>E511*K511*(1-F511)</f>
        <v/>
      </c>
      <c r="M511" s="25">
        <f>L511*VLOOKUP(D511,Lookups!$A$5:$E$10,5,FALSE)</f>
        <v/>
      </c>
    </row>
    <row r="512">
      <c r="A512" s="21" t="inlineStr">
        <is>
          <t>INV-10271</t>
        </is>
      </c>
      <c r="B512" s="22" t="n">
        <v>45818</v>
      </c>
      <c r="C512" s="21" t="inlineStr">
        <is>
          <t>R03</t>
        </is>
      </c>
      <c r="D512" s="21" t="inlineStr">
        <is>
          <t>P600</t>
        </is>
      </c>
      <c r="E512" s="21" t="n">
        <v>12</v>
      </c>
      <c r="F512" s="23" t="n">
        <v>0</v>
      </c>
      <c r="G512" s="24">
        <f>TEXT(B512,"mmm")</f>
        <v/>
      </c>
      <c r="H512" s="24">
        <f>HLOOKUP(C512,Lookups!$H$4:$K$5,2,FALSE)</f>
        <v/>
      </c>
      <c r="I512" s="24">
        <f>VLOOKUP(D512,Lookups!$A$5:$E$10,2,FALSE)</f>
        <v/>
      </c>
      <c r="J512" s="24">
        <f>VLOOKUP(D512,Lookups!$A$5:$E$10,3,FALSE)</f>
        <v/>
      </c>
      <c r="K512" s="25">
        <f>VLOOKUP(D512,Lookups!$A$5:$E$10,4,FALSE)</f>
        <v/>
      </c>
      <c r="L512" s="25">
        <f>E512*K512*(1-F512)</f>
        <v/>
      </c>
      <c r="M512" s="25">
        <f>L512*VLOOKUP(D512,Lookups!$A$5:$E$10,5,FALSE)</f>
        <v/>
      </c>
    </row>
    <row r="513">
      <c r="A513" s="21" t="inlineStr">
        <is>
          <t>INV-10438</t>
        </is>
      </c>
      <c r="B513" s="22" t="n">
        <v>45818</v>
      </c>
      <c r="C513" s="21" t="inlineStr">
        <is>
          <t>R04</t>
        </is>
      </c>
      <c r="D513" s="21" t="inlineStr">
        <is>
          <t>P200</t>
        </is>
      </c>
      <c r="E513" s="21" t="n">
        <v>18</v>
      </c>
      <c r="F513" s="23" t="n">
        <v>0.05</v>
      </c>
      <c r="G513" s="24">
        <f>TEXT(B513,"mmm")</f>
        <v/>
      </c>
      <c r="H513" s="24">
        <f>HLOOKUP(C513,Lookups!$H$4:$K$5,2,FALSE)</f>
        <v/>
      </c>
      <c r="I513" s="24">
        <f>VLOOKUP(D513,Lookups!$A$5:$E$10,2,FALSE)</f>
        <v/>
      </c>
      <c r="J513" s="24">
        <f>VLOOKUP(D513,Lookups!$A$5:$E$10,3,FALSE)</f>
        <v/>
      </c>
      <c r="K513" s="25">
        <f>VLOOKUP(D513,Lookups!$A$5:$E$10,4,FALSE)</f>
        <v/>
      </c>
      <c r="L513" s="25">
        <f>E513*K513*(1-F513)</f>
        <v/>
      </c>
      <c r="M513" s="25">
        <f>L513*VLOOKUP(D513,Lookups!$A$5:$E$10,5,FALSE)</f>
        <v/>
      </c>
    </row>
    <row r="514">
      <c r="A514" s="21" t="inlineStr">
        <is>
          <t>INV-10019</t>
        </is>
      </c>
      <c r="B514" s="22" t="n">
        <v>45819</v>
      </c>
      <c r="C514" s="21" t="inlineStr">
        <is>
          <t>R03</t>
        </is>
      </c>
      <c r="D514" s="21" t="inlineStr">
        <is>
          <t>P400</t>
        </is>
      </c>
      <c r="E514" s="21" t="n">
        <v>3</v>
      </c>
      <c r="F514" s="23" t="n">
        <v>0</v>
      </c>
      <c r="G514" s="24">
        <f>TEXT(B514,"mmm")</f>
        <v/>
      </c>
      <c r="H514" s="24">
        <f>HLOOKUP(C514,Lookups!$H$4:$K$5,2,FALSE)</f>
        <v/>
      </c>
      <c r="I514" s="24">
        <f>VLOOKUP(D514,Lookups!$A$5:$E$10,2,FALSE)</f>
        <v/>
      </c>
      <c r="J514" s="24">
        <f>VLOOKUP(D514,Lookups!$A$5:$E$10,3,FALSE)</f>
        <v/>
      </c>
      <c r="K514" s="25">
        <f>VLOOKUP(D514,Lookups!$A$5:$E$10,4,FALSE)</f>
        <v/>
      </c>
      <c r="L514" s="25">
        <f>E514*K514*(1-F514)</f>
        <v/>
      </c>
      <c r="M514" s="25">
        <f>L514*VLOOKUP(D514,Lookups!$A$5:$E$10,5,FALSE)</f>
        <v/>
      </c>
    </row>
    <row r="515">
      <c r="A515" s="21" t="inlineStr">
        <is>
          <t>INV-10651</t>
        </is>
      </c>
      <c r="B515" s="22" t="n">
        <v>45819</v>
      </c>
      <c r="C515" s="21" t="inlineStr">
        <is>
          <t>R02</t>
        </is>
      </c>
      <c r="D515" s="21" t="inlineStr">
        <is>
          <t>P200</t>
        </is>
      </c>
      <c r="E515" s="21" t="n">
        <v>9</v>
      </c>
      <c r="F515" s="23" t="n">
        <v>0</v>
      </c>
      <c r="G515" s="24">
        <f>TEXT(B515,"mmm")</f>
        <v/>
      </c>
      <c r="H515" s="24">
        <f>HLOOKUP(C515,Lookups!$H$4:$K$5,2,FALSE)</f>
        <v/>
      </c>
      <c r="I515" s="24">
        <f>VLOOKUP(D515,Lookups!$A$5:$E$10,2,FALSE)</f>
        <v/>
      </c>
      <c r="J515" s="24">
        <f>VLOOKUP(D515,Lookups!$A$5:$E$10,3,FALSE)</f>
        <v/>
      </c>
      <c r="K515" s="25">
        <f>VLOOKUP(D515,Lookups!$A$5:$E$10,4,FALSE)</f>
        <v/>
      </c>
      <c r="L515" s="25">
        <f>E515*K515*(1-F515)</f>
        <v/>
      </c>
      <c r="M515" s="25">
        <f>L515*VLOOKUP(D515,Lookups!$A$5:$E$10,5,FALSE)</f>
        <v/>
      </c>
    </row>
    <row r="516">
      <c r="A516" s="21" t="inlineStr">
        <is>
          <t>INV-10952</t>
        </is>
      </c>
      <c r="B516" s="22" t="n">
        <v>45819</v>
      </c>
      <c r="C516" s="21" t="inlineStr">
        <is>
          <t>R02</t>
        </is>
      </c>
      <c r="D516" s="21" t="inlineStr">
        <is>
          <t>P400</t>
        </is>
      </c>
      <c r="E516" s="21" t="n">
        <v>1</v>
      </c>
      <c r="F516" s="23" t="n">
        <v>0.05</v>
      </c>
      <c r="G516" s="24">
        <f>TEXT(B516,"mmm")</f>
        <v/>
      </c>
      <c r="H516" s="24">
        <f>HLOOKUP(C516,Lookups!$H$4:$K$5,2,FALSE)</f>
        <v/>
      </c>
      <c r="I516" s="24">
        <f>VLOOKUP(D516,Lookups!$A$5:$E$10,2,FALSE)</f>
        <v/>
      </c>
      <c r="J516" s="24">
        <f>VLOOKUP(D516,Lookups!$A$5:$E$10,3,FALSE)</f>
        <v/>
      </c>
      <c r="K516" s="25">
        <f>VLOOKUP(D516,Lookups!$A$5:$E$10,4,FALSE)</f>
        <v/>
      </c>
      <c r="L516" s="25">
        <f>E516*K516*(1-F516)</f>
        <v/>
      </c>
      <c r="M516" s="25">
        <f>L516*VLOOKUP(D516,Lookups!$A$5:$E$10,5,FALSE)</f>
        <v/>
      </c>
    </row>
    <row r="517">
      <c r="A517" s="21" t="inlineStr">
        <is>
          <t>INV-11027</t>
        </is>
      </c>
      <c r="B517" s="22" t="n">
        <v>45819</v>
      </c>
      <c r="C517" s="21" t="inlineStr">
        <is>
          <t>R03</t>
        </is>
      </c>
      <c r="D517" s="21" t="inlineStr">
        <is>
          <t>P400</t>
        </is>
      </c>
      <c r="E517" s="21" t="n">
        <v>17</v>
      </c>
      <c r="F517" s="23" t="n">
        <v>0</v>
      </c>
      <c r="G517" s="24">
        <f>TEXT(B517,"mmm")</f>
        <v/>
      </c>
      <c r="H517" s="24">
        <f>HLOOKUP(C517,Lookups!$H$4:$K$5,2,FALSE)</f>
        <v/>
      </c>
      <c r="I517" s="24">
        <f>VLOOKUP(D517,Lookups!$A$5:$E$10,2,FALSE)</f>
        <v/>
      </c>
      <c r="J517" s="24">
        <f>VLOOKUP(D517,Lookups!$A$5:$E$10,3,FALSE)</f>
        <v/>
      </c>
      <c r="K517" s="25">
        <f>VLOOKUP(D517,Lookups!$A$5:$E$10,4,FALSE)</f>
        <v/>
      </c>
      <c r="L517" s="25">
        <f>E517*K517*(1-F517)</f>
        <v/>
      </c>
      <c r="M517" s="25">
        <f>L517*VLOOKUP(D517,Lookups!$A$5:$E$10,5,FALSE)</f>
        <v/>
      </c>
    </row>
    <row r="518">
      <c r="A518" s="21" t="inlineStr">
        <is>
          <t>INV-11145</t>
        </is>
      </c>
      <c r="B518" s="22" t="n">
        <v>45819</v>
      </c>
      <c r="C518" s="21" t="inlineStr">
        <is>
          <t>R03</t>
        </is>
      </c>
      <c r="D518" s="21" t="inlineStr">
        <is>
          <t>P100</t>
        </is>
      </c>
      <c r="E518" s="21" t="n">
        <v>18</v>
      </c>
      <c r="F518" s="23" t="n">
        <v>0</v>
      </c>
      <c r="G518" s="24">
        <f>TEXT(B518,"mmm")</f>
        <v/>
      </c>
      <c r="H518" s="24">
        <f>HLOOKUP(C518,Lookups!$H$4:$K$5,2,FALSE)</f>
        <v/>
      </c>
      <c r="I518" s="24">
        <f>VLOOKUP(D518,Lookups!$A$5:$E$10,2,FALSE)</f>
        <v/>
      </c>
      <c r="J518" s="24">
        <f>VLOOKUP(D518,Lookups!$A$5:$E$10,3,FALSE)</f>
        <v/>
      </c>
      <c r="K518" s="25">
        <f>VLOOKUP(D518,Lookups!$A$5:$E$10,4,FALSE)</f>
        <v/>
      </c>
      <c r="L518" s="25">
        <f>E518*K518*(1-F518)</f>
        <v/>
      </c>
      <c r="M518" s="25">
        <f>L518*VLOOKUP(D518,Lookups!$A$5:$E$10,5,FALSE)</f>
        <v/>
      </c>
    </row>
    <row r="519">
      <c r="A519" s="21" t="inlineStr">
        <is>
          <t>INV-10551</t>
        </is>
      </c>
      <c r="B519" s="22" t="n">
        <v>45820</v>
      </c>
      <c r="C519" s="21" t="inlineStr">
        <is>
          <t>R01</t>
        </is>
      </c>
      <c r="D519" s="21" t="inlineStr">
        <is>
          <t>P300</t>
        </is>
      </c>
      <c r="E519" s="21" t="n">
        <v>3</v>
      </c>
      <c r="F519" s="23" t="n">
        <v>0</v>
      </c>
      <c r="G519" s="24">
        <f>TEXT(B519,"mmm")</f>
        <v/>
      </c>
      <c r="H519" s="24">
        <f>HLOOKUP(C519,Lookups!$H$4:$K$5,2,FALSE)</f>
        <v/>
      </c>
      <c r="I519" s="24">
        <f>VLOOKUP(D519,Lookups!$A$5:$E$10,2,FALSE)</f>
        <v/>
      </c>
      <c r="J519" s="24">
        <f>VLOOKUP(D519,Lookups!$A$5:$E$10,3,FALSE)</f>
        <v/>
      </c>
      <c r="K519" s="25">
        <f>VLOOKUP(D519,Lookups!$A$5:$E$10,4,FALSE)</f>
        <v/>
      </c>
      <c r="L519" s="25">
        <f>E519*K519*(1-F519)</f>
        <v/>
      </c>
      <c r="M519" s="25">
        <f>L519*VLOOKUP(D519,Lookups!$A$5:$E$10,5,FALSE)</f>
        <v/>
      </c>
    </row>
    <row r="520">
      <c r="A520" s="21" t="inlineStr">
        <is>
          <t>INV-10695</t>
        </is>
      </c>
      <c r="B520" s="22" t="n">
        <v>45820</v>
      </c>
      <c r="C520" s="21" t="inlineStr">
        <is>
          <t>R03</t>
        </is>
      </c>
      <c r="D520" s="21" t="inlineStr">
        <is>
          <t>P400</t>
        </is>
      </c>
      <c r="E520" s="21" t="n">
        <v>8</v>
      </c>
      <c r="F520" s="23" t="n">
        <v>0</v>
      </c>
      <c r="G520" s="24">
        <f>TEXT(B520,"mmm")</f>
        <v/>
      </c>
      <c r="H520" s="24">
        <f>HLOOKUP(C520,Lookups!$H$4:$K$5,2,FALSE)</f>
        <v/>
      </c>
      <c r="I520" s="24">
        <f>VLOOKUP(D520,Lookups!$A$5:$E$10,2,FALSE)</f>
        <v/>
      </c>
      <c r="J520" s="24">
        <f>VLOOKUP(D520,Lookups!$A$5:$E$10,3,FALSE)</f>
        <v/>
      </c>
      <c r="K520" s="25">
        <f>VLOOKUP(D520,Lookups!$A$5:$E$10,4,FALSE)</f>
        <v/>
      </c>
      <c r="L520" s="25">
        <f>E520*K520*(1-F520)</f>
        <v/>
      </c>
      <c r="M520" s="25">
        <f>L520*VLOOKUP(D520,Lookups!$A$5:$E$10,5,FALSE)</f>
        <v/>
      </c>
    </row>
    <row r="521">
      <c r="A521" s="21" t="inlineStr">
        <is>
          <t>INV-10587</t>
        </is>
      </c>
      <c r="B521" s="22" t="n">
        <v>45821</v>
      </c>
      <c r="C521" s="21" t="inlineStr">
        <is>
          <t>R03</t>
        </is>
      </c>
      <c r="D521" s="21" t="inlineStr">
        <is>
          <t>P100</t>
        </is>
      </c>
      <c r="E521" s="21" t="n">
        <v>2</v>
      </c>
      <c r="F521" s="23" t="n">
        <v>0</v>
      </c>
      <c r="G521" s="24">
        <f>TEXT(B521,"mmm")</f>
        <v/>
      </c>
      <c r="H521" s="24">
        <f>HLOOKUP(C521,Lookups!$H$4:$K$5,2,FALSE)</f>
        <v/>
      </c>
      <c r="I521" s="24">
        <f>VLOOKUP(D521,Lookups!$A$5:$E$10,2,FALSE)</f>
        <v/>
      </c>
      <c r="J521" s="24">
        <f>VLOOKUP(D521,Lookups!$A$5:$E$10,3,FALSE)</f>
        <v/>
      </c>
      <c r="K521" s="25">
        <f>VLOOKUP(D521,Lookups!$A$5:$E$10,4,FALSE)</f>
        <v/>
      </c>
      <c r="L521" s="25">
        <f>E521*K521*(1-F521)</f>
        <v/>
      </c>
      <c r="M521" s="25">
        <f>L521*VLOOKUP(D521,Lookups!$A$5:$E$10,5,FALSE)</f>
        <v/>
      </c>
    </row>
    <row r="522">
      <c r="A522" s="21" t="inlineStr">
        <is>
          <t>INV-10742</t>
        </is>
      </c>
      <c r="B522" s="22" t="n">
        <v>45821</v>
      </c>
      <c r="C522" s="21" t="inlineStr">
        <is>
          <t>R01</t>
        </is>
      </c>
      <c r="D522" s="21" t="inlineStr">
        <is>
          <t>P200</t>
        </is>
      </c>
      <c r="E522" s="21" t="n">
        <v>23</v>
      </c>
      <c r="F522" s="23" t="n">
        <v>0.05</v>
      </c>
      <c r="G522" s="24">
        <f>TEXT(B522,"mmm")</f>
        <v/>
      </c>
      <c r="H522" s="24">
        <f>HLOOKUP(C522,Lookups!$H$4:$K$5,2,FALSE)</f>
        <v/>
      </c>
      <c r="I522" s="24">
        <f>VLOOKUP(D522,Lookups!$A$5:$E$10,2,FALSE)</f>
        <v/>
      </c>
      <c r="J522" s="24">
        <f>VLOOKUP(D522,Lookups!$A$5:$E$10,3,FALSE)</f>
        <v/>
      </c>
      <c r="K522" s="25">
        <f>VLOOKUP(D522,Lookups!$A$5:$E$10,4,FALSE)</f>
        <v/>
      </c>
      <c r="L522" s="25">
        <f>E522*K522*(1-F522)</f>
        <v/>
      </c>
      <c r="M522" s="25">
        <f>L522*VLOOKUP(D522,Lookups!$A$5:$E$10,5,FALSE)</f>
        <v/>
      </c>
    </row>
    <row r="523">
      <c r="A523" s="21" t="inlineStr">
        <is>
          <t>INV-10185</t>
        </is>
      </c>
      <c r="B523" s="22" t="n">
        <v>45822</v>
      </c>
      <c r="C523" s="21" t="inlineStr">
        <is>
          <t>R01</t>
        </is>
      </c>
      <c r="D523" s="21" t="inlineStr">
        <is>
          <t>P600</t>
        </is>
      </c>
      <c r="E523" s="21" t="n">
        <v>6</v>
      </c>
      <c r="F523" s="23" t="n">
        <v>0.05</v>
      </c>
      <c r="G523" s="24">
        <f>TEXT(B523,"mmm")</f>
        <v/>
      </c>
      <c r="H523" s="24">
        <f>HLOOKUP(C523,Lookups!$H$4:$K$5,2,FALSE)</f>
        <v/>
      </c>
      <c r="I523" s="24">
        <f>VLOOKUP(D523,Lookups!$A$5:$E$10,2,FALSE)</f>
        <v/>
      </c>
      <c r="J523" s="24">
        <f>VLOOKUP(D523,Lookups!$A$5:$E$10,3,FALSE)</f>
        <v/>
      </c>
      <c r="K523" s="25">
        <f>VLOOKUP(D523,Lookups!$A$5:$E$10,4,FALSE)</f>
        <v/>
      </c>
      <c r="L523" s="25">
        <f>E523*K523*(1-F523)</f>
        <v/>
      </c>
      <c r="M523" s="25">
        <f>L523*VLOOKUP(D523,Lookups!$A$5:$E$10,5,FALSE)</f>
        <v/>
      </c>
    </row>
    <row r="524">
      <c r="A524" s="21" t="inlineStr">
        <is>
          <t>INV-10265</t>
        </is>
      </c>
      <c r="B524" s="22" t="n">
        <v>45822</v>
      </c>
      <c r="C524" s="21" t="inlineStr">
        <is>
          <t>R02</t>
        </is>
      </c>
      <c r="D524" s="21" t="inlineStr">
        <is>
          <t>P500</t>
        </is>
      </c>
      <c r="E524" s="21" t="n">
        <v>3</v>
      </c>
      <c r="F524" s="23" t="n">
        <v>0</v>
      </c>
      <c r="G524" s="24">
        <f>TEXT(B524,"mmm")</f>
        <v/>
      </c>
      <c r="H524" s="24">
        <f>HLOOKUP(C524,Lookups!$H$4:$K$5,2,FALSE)</f>
        <v/>
      </c>
      <c r="I524" s="24">
        <f>VLOOKUP(D524,Lookups!$A$5:$E$10,2,FALSE)</f>
        <v/>
      </c>
      <c r="J524" s="24">
        <f>VLOOKUP(D524,Lookups!$A$5:$E$10,3,FALSE)</f>
        <v/>
      </c>
      <c r="K524" s="25">
        <f>VLOOKUP(D524,Lookups!$A$5:$E$10,4,FALSE)</f>
        <v/>
      </c>
      <c r="L524" s="25">
        <f>E524*K524*(1-F524)</f>
        <v/>
      </c>
      <c r="M524" s="25">
        <f>L524*VLOOKUP(D524,Lookups!$A$5:$E$10,5,FALSE)</f>
        <v/>
      </c>
    </row>
    <row r="525">
      <c r="A525" s="21" t="inlineStr">
        <is>
          <t>INV-10314</t>
        </is>
      </c>
      <c r="B525" s="22" t="n">
        <v>45822</v>
      </c>
      <c r="C525" s="21" t="inlineStr">
        <is>
          <t>R04</t>
        </is>
      </c>
      <c r="D525" s="21" t="inlineStr">
        <is>
          <t>P500</t>
        </is>
      </c>
      <c r="E525" s="21" t="n">
        <v>17</v>
      </c>
      <c r="F525" s="23" t="n">
        <v>0</v>
      </c>
      <c r="G525" s="24">
        <f>TEXT(B525,"mmm")</f>
        <v/>
      </c>
      <c r="H525" s="24">
        <f>HLOOKUP(C525,Lookups!$H$4:$K$5,2,FALSE)</f>
        <v/>
      </c>
      <c r="I525" s="24">
        <f>VLOOKUP(D525,Lookups!$A$5:$E$10,2,FALSE)</f>
        <v/>
      </c>
      <c r="J525" s="24">
        <f>VLOOKUP(D525,Lookups!$A$5:$E$10,3,FALSE)</f>
        <v/>
      </c>
      <c r="K525" s="25">
        <f>VLOOKUP(D525,Lookups!$A$5:$E$10,4,FALSE)</f>
        <v/>
      </c>
      <c r="L525" s="25">
        <f>E525*K525*(1-F525)</f>
        <v/>
      </c>
      <c r="M525" s="25">
        <f>L525*VLOOKUP(D525,Lookups!$A$5:$E$10,5,FALSE)</f>
        <v/>
      </c>
    </row>
    <row r="526">
      <c r="A526" s="21" t="inlineStr">
        <is>
          <t>INV-10871</t>
        </is>
      </c>
      <c r="B526" s="22" t="n">
        <v>45822</v>
      </c>
      <c r="C526" s="21" t="inlineStr">
        <is>
          <t>R03</t>
        </is>
      </c>
      <c r="D526" s="21" t="inlineStr">
        <is>
          <t>P200</t>
        </is>
      </c>
      <c r="E526" s="21" t="n">
        <v>9</v>
      </c>
      <c r="F526" s="23" t="n">
        <v>0</v>
      </c>
      <c r="G526" s="24">
        <f>TEXT(B526,"mmm")</f>
        <v/>
      </c>
      <c r="H526" s="24">
        <f>HLOOKUP(C526,Lookups!$H$4:$K$5,2,FALSE)</f>
        <v/>
      </c>
      <c r="I526" s="24">
        <f>VLOOKUP(D526,Lookups!$A$5:$E$10,2,FALSE)</f>
        <v/>
      </c>
      <c r="J526" s="24">
        <f>VLOOKUP(D526,Lookups!$A$5:$E$10,3,FALSE)</f>
        <v/>
      </c>
      <c r="K526" s="25">
        <f>VLOOKUP(D526,Lookups!$A$5:$E$10,4,FALSE)</f>
        <v/>
      </c>
      <c r="L526" s="25">
        <f>E526*K526*(1-F526)</f>
        <v/>
      </c>
      <c r="M526" s="25">
        <f>L526*VLOOKUP(D526,Lookups!$A$5:$E$10,5,FALSE)</f>
        <v/>
      </c>
    </row>
    <row r="527">
      <c r="A527" s="21" t="inlineStr">
        <is>
          <t>INV-10925</t>
        </is>
      </c>
      <c r="B527" s="22" t="n">
        <v>45822</v>
      </c>
      <c r="C527" s="21" t="inlineStr">
        <is>
          <t>R01</t>
        </is>
      </c>
      <c r="D527" s="21" t="inlineStr">
        <is>
          <t>P500</t>
        </is>
      </c>
      <c r="E527" s="21" t="n">
        <v>4</v>
      </c>
      <c r="F527" s="23" t="n">
        <v>0</v>
      </c>
      <c r="G527" s="24">
        <f>TEXT(B527,"mmm")</f>
        <v/>
      </c>
      <c r="H527" s="24">
        <f>HLOOKUP(C527,Lookups!$H$4:$K$5,2,FALSE)</f>
        <v/>
      </c>
      <c r="I527" s="24">
        <f>VLOOKUP(D527,Lookups!$A$5:$E$10,2,FALSE)</f>
        <v/>
      </c>
      <c r="J527" s="24">
        <f>VLOOKUP(D527,Lookups!$A$5:$E$10,3,FALSE)</f>
        <v/>
      </c>
      <c r="K527" s="25">
        <f>VLOOKUP(D527,Lookups!$A$5:$E$10,4,FALSE)</f>
        <v/>
      </c>
      <c r="L527" s="25">
        <f>E527*K527*(1-F527)</f>
        <v/>
      </c>
      <c r="M527" s="25">
        <f>L527*VLOOKUP(D527,Lookups!$A$5:$E$10,5,FALSE)</f>
        <v/>
      </c>
    </row>
    <row r="528">
      <c r="A528" s="21" t="inlineStr">
        <is>
          <t>INV-11120</t>
        </is>
      </c>
      <c r="B528" s="22" t="n">
        <v>45822</v>
      </c>
      <c r="C528" s="21" t="inlineStr">
        <is>
          <t>R01</t>
        </is>
      </c>
      <c r="D528" s="21" t="inlineStr">
        <is>
          <t>P600</t>
        </is>
      </c>
      <c r="E528" s="21" t="n">
        <v>22</v>
      </c>
      <c r="F528" s="23" t="n">
        <v>0.1</v>
      </c>
      <c r="G528" s="24">
        <f>TEXT(B528,"mmm")</f>
        <v/>
      </c>
      <c r="H528" s="24">
        <f>HLOOKUP(C528,Lookups!$H$4:$K$5,2,FALSE)</f>
        <v/>
      </c>
      <c r="I528" s="24">
        <f>VLOOKUP(D528,Lookups!$A$5:$E$10,2,FALSE)</f>
        <v/>
      </c>
      <c r="J528" s="24">
        <f>VLOOKUP(D528,Lookups!$A$5:$E$10,3,FALSE)</f>
        <v/>
      </c>
      <c r="K528" s="25">
        <f>VLOOKUP(D528,Lookups!$A$5:$E$10,4,FALSE)</f>
        <v/>
      </c>
      <c r="L528" s="25">
        <f>E528*K528*(1-F528)</f>
        <v/>
      </c>
      <c r="M528" s="25">
        <f>L528*VLOOKUP(D528,Lookups!$A$5:$E$10,5,FALSE)</f>
        <v/>
      </c>
    </row>
    <row r="529">
      <c r="A529" s="21" t="inlineStr">
        <is>
          <t>INV-11140</t>
        </is>
      </c>
      <c r="B529" s="22" t="n">
        <v>45823</v>
      </c>
      <c r="C529" s="21" t="inlineStr">
        <is>
          <t>R02</t>
        </is>
      </c>
      <c r="D529" s="21" t="inlineStr">
        <is>
          <t>P500</t>
        </is>
      </c>
      <c r="E529" s="21" t="n">
        <v>19</v>
      </c>
      <c r="F529" s="23" t="n">
        <v>0</v>
      </c>
      <c r="G529" s="24">
        <f>TEXT(B529,"mmm")</f>
        <v/>
      </c>
      <c r="H529" s="24">
        <f>HLOOKUP(C529,Lookups!$H$4:$K$5,2,FALSE)</f>
        <v/>
      </c>
      <c r="I529" s="24">
        <f>VLOOKUP(D529,Lookups!$A$5:$E$10,2,FALSE)</f>
        <v/>
      </c>
      <c r="J529" s="24">
        <f>VLOOKUP(D529,Lookups!$A$5:$E$10,3,FALSE)</f>
        <v/>
      </c>
      <c r="K529" s="25">
        <f>VLOOKUP(D529,Lookups!$A$5:$E$10,4,FALSE)</f>
        <v/>
      </c>
      <c r="L529" s="25">
        <f>E529*K529*(1-F529)</f>
        <v/>
      </c>
      <c r="M529" s="25">
        <f>L529*VLOOKUP(D529,Lookups!$A$5:$E$10,5,FALSE)</f>
        <v/>
      </c>
    </row>
    <row r="530">
      <c r="A530" s="21" t="inlineStr">
        <is>
          <t>INV-11165</t>
        </is>
      </c>
      <c r="B530" s="22" t="n">
        <v>45823</v>
      </c>
      <c r="C530" s="21" t="inlineStr">
        <is>
          <t>R01</t>
        </is>
      </c>
      <c r="D530" s="21" t="inlineStr">
        <is>
          <t>P600</t>
        </is>
      </c>
      <c r="E530" s="21" t="n">
        <v>4</v>
      </c>
      <c r="F530" s="23" t="n">
        <v>0.1</v>
      </c>
      <c r="G530" s="24">
        <f>TEXT(B530,"mmm")</f>
        <v/>
      </c>
      <c r="H530" s="24">
        <f>HLOOKUP(C530,Lookups!$H$4:$K$5,2,FALSE)</f>
        <v/>
      </c>
      <c r="I530" s="24">
        <f>VLOOKUP(D530,Lookups!$A$5:$E$10,2,FALSE)</f>
        <v/>
      </c>
      <c r="J530" s="24">
        <f>VLOOKUP(D530,Lookups!$A$5:$E$10,3,FALSE)</f>
        <v/>
      </c>
      <c r="K530" s="25">
        <f>VLOOKUP(D530,Lookups!$A$5:$E$10,4,FALSE)</f>
        <v/>
      </c>
      <c r="L530" s="25">
        <f>E530*K530*(1-F530)</f>
        <v/>
      </c>
      <c r="M530" s="25">
        <f>L530*VLOOKUP(D530,Lookups!$A$5:$E$10,5,FALSE)</f>
        <v/>
      </c>
    </row>
    <row r="531">
      <c r="A531" s="21" t="inlineStr">
        <is>
          <t>INV-11043</t>
        </is>
      </c>
      <c r="B531" s="22" t="n">
        <v>45824</v>
      </c>
      <c r="C531" s="21" t="inlineStr">
        <is>
          <t>R03</t>
        </is>
      </c>
      <c r="D531" s="21" t="inlineStr">
        <is>
          <t>P300</t>
        </is>
      </c>
      <c r="E531" s="21" t="n">
        <v>6</v>
      </c>
      <c r="F531" s="23" t="n">
        <v>0.05</v>
      </c>
      <c r="G531" s="24">
        <f>TEXT(B531,"mmm")</f>
        <v/>
      </c>
      <c r="H531" s="24">
        <f>HLOOKUP(C531,Lookups!$H$4:$K$5,2,FALSE)</f>
        <v/>
      </c>
      <c r="I531" s="24">
        <f>VLOOKUP(D531,Lookups!$A$5:$E$10,2,FALSE)</f>
        <v/>
      </c>
      <c r="J531" s="24">
        <f>VLOOKUP(D531,Lookups!$A$5:$E$10,3,FALSE)</f>
        <v/>
      </c>
      <c r="K531" s="25">
        <f>VLOOKUP(D531,Lookups!$A$5:$E$10,4,FALSE)</f>
        <v/>
      </c>
      <c r="L531" s="25">
        <f>E531*K531*(1-F531)</f>
        <v/>
      </c>
      <c r="M531" s="25">
        <f>L531*VLOOKUP(D531,Lookups!$A$5:$E$10,5,FALSE)</f>
        <v/>
      </c>
    </row>
    <row r="532">
      <c r="A532" s="21" t="inlineStr">
        <is>
          <t>INV-11105</t>
        </is>
      </c>
      <c r="B532" s="22" t="n">
        <v>45824</v>
      </c>
      <c r="C532" s="21" t="inlineStr">
        <is>
          <t>R02</t>
        </is>
      </c>
      <c r="D532" s="21" t="inlineStr">
        <is>
          <t>P100</t>
        </is>
      </c>
      <c r="E532" s="21" t="n">
        <v>9</v>
      </c>
      <c r="F532" s="23" t="n">
        <v>0</v>
      </c>
      <c r="G532" s="24">
        <f>TEXT(B532,"mmm")</f>
        <v/>
      </c>
      <c r="H532" s="24">
        <f>HLOOKUP(C532,Lookups!$H$4:$K$5,2,FALSE)</f>
        <v/>
      </c>
      <c r="I532" s="24">
        <f>VLOOKUP(D532,Lookups!$A$5:$E$10,2,FALSE)</f>
        <v/>
      </c>
      <c r="J532" s="24">
        <f>VLOOKUP(D532,Lookups!$A$5:$E$10,3,FALSE)</f>
        <v/>
      </c>
      <c r="K532" s="25">
        <f>VLOOKUP(D532,Lookups!$A$5:$E$10,4,FALSE)</f>
        <v/>
      </c>
      <c r="L532" s="25">
        <f>E532*K532*(1-F532)</f>
        <v/>
      </c>
      <c r="M532" s="25">
        <f>L532*VLOOKUP(D532,Lookups!$A$5:$E$10,5,FALSE)</f>
        <v/>
      </c>
    </row>
    <row r="533">
      <c r="A533" s="21" t="inlineStr">
        <is>
          <t>INV-10426</t>
        </is>
      </c>
      <c r="B533" s="22" t="n">
        <v>45825</v>
      </c>
      <c r="C533" s="21" t="inlineStr">
        <is>
          <t>R03</t>
        </is>
      </c>
      <c r="D533" s="21" t="inlineStr">
        <is>
          <t>P500</t>
        </is>
      </c>
      <c r="E533" s="21" t="n">
        <v>6</v>
      </c>
      <c r="F533" s="23" t="n">
        <v>0.1</v>
      </c>
      <c r="G533" s="24">
        <f>TEXT(B533,"mmm")</f>
        <v/>
      </c>
      <c r="H533" s="24">
        <f>HLOOKUP(C533,Lookups!$H$4:$K$5,2,FALSE)</f>
        <v/>
      </c>
      <c r="I533" s="24">
        <f>VLOOKUP(D533,Lookups!$A$5:$E$10,2,FALSE)</f>
        <v/>
      </c>
      <c r="J533" s="24">
        <f>VLOOKUP(D533,Lookups!$A$5:$E$10,3,FALSE)</f>
        <v/>
      </c>
      <c r="K533" s="25">
        <f>VLOOKUP(D533,Lookups!$A$5:$E$10,4,FALSE)</f>
        <v/>
      </c>
      <c r="L533" s="25">
        <f>E533*K533*(1-F533)</f>
        <v/>
      </c>
      <c r="M533" s="25">
        <f>L533*VLOOKUP(D533,Lookups!$A$5:$E$10,5,FALSE)</f>
        <v/>
      </c>
    </row>
    <row r="534">
      <c r="A534" s="21" t="inlineStr">
        <is>
          <t>INV-10546</t>
        </is>
      </c>
      <c r="B534" s="22" t="n">
        <v>45825</v>
      </c>
      <c r="C534" s="21" t="inlineStr">
        <is>
          <t>R03</t>
        </is>
      </c>
      <c r="D534" s="21" t="inlineStr">
        <is>
          <t>P100</t>
        </is>
      </c>
      <c r="E534" s="21" t="n">
        <v>15</v>
      </c>
      <c r="F534" s="23" t="n">
        <v>0.1</v>
      </c>
      <c r="G534" s="24">
        <f>TEXT(B534,"mmm")</f>
        <v/>
      </c>
      <c r="H534" s="24">
        <f>HLOOKUP(C534,Lookups!$H$4:$K$5,2,FALSE)</f>
        <v/>
      </c>
      <c r="I534" s="24">
        <f>VLOOKUP(D534,Lookups!$A$5:$E$10,2,FALSE)</f>
        <v/>
      </c>
      <c r="J534" s="24">
        <f>VLOOKUP(D534,Lookups!$A$5:$E$10,3,FALSE)</f>
        <v/>
      </c>
      <c r="K534" s="25">
        <f>VLOOKUP(D534,Lookups!$A$5:$E$10,4,FALSE)</f>
        <v/>
      </c>
      <c r="L534" s="25">
        <f>E534*K534*(1-F534)</f>
        <v/>
      </c>
      <c r="M534" s="25">
        <f>L534*VLOOKUP(D534,Lookups!$A$5:$E$10,5,FALSE)</f>
        <v/>
      </c>
    </row>
    <row r="535">
      <c r="A535" s="21" t="inlineStr">
        <is>
          <t>INV-11156</t>
        </is>
      </c>
      <c r="B535" s="22" t="n">
        <v>45825</v>
      </c>
      <c r="C535" s="21" t="inlineStr">
        <is>
          <t>R02</t>
        </is>
      </c>
      <c r="D535" s="21" t="inlineStr">
        <is>
          <t>P500</t>
        </is>
      </c>
      <c r="E535" s="21" t="n">
        <v>5</v>
      </c>
      <c r="F535" s="23" t="n">
        <v>0</v>
      </c>
      <c r="G535" s="24">
        <f>TEXT(B535,"mmm")</f>
        <v/>
      </c>
      <c r="H535" s="24">
        <f>HLOOKUP(C535,Lookups!$H$4:$K$5,2,FALSE)</f>
        <v/>
      </c>
      <c r="I535" s="24">
        <f>VLOOKUP(D535,Lookups!$A$5:$E$10,2,FALSE)</f>
        <v/>
      </c>
      <c r="J535" s="24">
        <f>VLOOKUP(D535,Lookups!$A$5:$E$10,3,FALSE)</f>
        <v/>
      </c>
      <c r="K535" s="25">
        <f>VLOOKUP(D535,Lookups!$A$5:$E$10,4,FALSE)</f>
        <v/>
      </c>
      <c r="L535" s="25">
        <f>E535*K535*(1-F535)</f>
        <v/>
      </c>
      <c r="M535" s="25">
        <f>L535*VLOOKUP(D535,Lookups!$A$5:$E$10,5,FALSE)</f>
        <v/>
      </c>
    </row>
    <row r="536">
      <c r="A536" s="21" t="inlineStr">
        <is>
          <t>INV-10211</t>
        </is>
      </c>
      <c r="B536" s="22" t="n">
        <v>45826</v>
      </c>
      <c r="C536" s="21" t="inlineStr">
        <is>
          <t>R04</t>
        </is>
      </c>
      <c r="D536" s="21" t="inlineStr">
        <is>
          <t>P600</t>
        </is>
      </c>
      <c r="E536" s="21" t="n">
        <v>11</v>
      </c>
      <c r="F536" s="23" t="n">
        <v>0.1</v>
      </c>
      <c r="G536" s="24">
        <f>TEXT(B536,"mmm")</f>
        <v/>
      </c>
      <c r="H536" s="24">
        <f>HLOOKUP(C536,Lookups!$H$4:$K$5,2,FALSE)</f>
        <v/>
      </c>
      <c r="I536" s="24">
        <f>VLOOKUP(D536,Lookups!$A$5:$E$10,2,FALSE)</f>
        <v/>
      </c>
      <c r="J536" s="24">
        <f>VLOOKUP(D536,Lookups!$A$5:$E$10,3,FALSE)</f>
        <v/>
      </c>
      <c r="K536" s="25">
        <f>VLOOKUP(D536,Lookups!$A$5:$E$10,4,FALSE)</f>
        <v/>
      </c>
      <c r="L536" s="25">
        <f>E536*K536*(1-F536)</f>
        <v/>
      </c>
      <c r="M536" s="25">
        <f>L536*VLOOKUP(D536,Lookups!$A$5:$E$10,5,FALSE)</f>
        <v/>
      </c>
    </row>
    <row r="537">
      <c r="A537" s="21" t="inlineStr">
        <is>
          <t>INV-10466</t>
        </is>
      </c>
      <c r="B537" s="22" t="n">
        <v>45826</v>
      </c>
      <c r="C537" s="21" t="inlineStr">
        <is>
          <t>R01</t>
        </is>
      </c>
      <c r="D537" s="21" t="inlineStr">
        <is>
          <t>P300</t>
        </is>
      </c>
      <c r="E537" s="21" t="n">
        <v>9</v>
      </c>
      <c r="F537" s="23" t="n">
        <v>0.05</v>
      </c>
      <c r="G537" s="24">
        <f>TEXT(B537,"mmm")</f>
        <v/>
      </c>
      <c r="H537" s="24">
        <f>HLOOKUP(C537,Lookups!$H$4:$K$5,2,FALSE)</f>
        <v/>
      </c>
      <c r="I537" s="24">
        <f>VLOOKUP(D537,Lookups!$A$5:$E$10,2,FALSE)</f>
        <v/>
      </c>
      <c r="J537" s="24">
        <f>VLOOKUP(D537,Lookups!$A$5:$E$10,3,FALSE)</f>
        <v/>
      </c>
      <c r="K537" s="25">
        <f>VLOOKUP(D537,Lookups!$A$5:$E$10,4,FALSE)</f>
        <v/>
      </c>
      <c r="L537" s="25">
        <f>E537*K537*(1-F537)</f>
        <v/>
      </c>
      <c r="M537" s="25">
        <f>L537*VLOOKUP(D537,Lookups!$A$5:$E$10,5,FALSE)</f>
        <v/>
      </c>
    </row>
    <row r="538">
      <c r="A538" s="21" t="inlineStr">
        <is>
          <t>INV-10590</t>
        </is>
      </c>
      <c r="B538" s="22" t="n">
        <v>45827</v>
      </c>
      <c r="C538" s="21" t="inlineStr">
        <is>
          <t>R04</t>
        </is>
      </c>
      <c r="D538" s="21" t="inlineStr">
        <is>
          <t>P500</t>
        </is>
      </c>
      <c r="E538" s="21" t="n">
        <v>15</v>
      </c>
      <c r="F538" s="23" t="n">
        <v>0</v>
      </c>
      <c r="G538" s="24">
        <f>TEXT(B538,"mmm")</f>
        <v/>
      </c>
      <c r="H538" s="24">
        <f>HLOOKUP(C538,Lookups!$H$4:$K$5,2,FALSE)</f>
        <v/>
      </c>
      <c r="I538" s="24">
        <f>VLOOKUP(D538,Lookups!$A$5:$E$10,2,FALSE)</f>
        <v/>
      </c>
      <c r="J538" s="24">
        <f>VLOOKUP(D538,Lookups!$A$5:$E$10,3,FALSE)</f>
        <v/>
      </c>
      <c r="K538" s="25">
        <f>VLOOKUP(D538,Lookups!$A$5:$E$10,4,FALSE)</f>
        <v/>
      </c>
      <c r="L538" s="25">
        <f>E538*K538*(1-F538)</f>
        <v/>
      </c>
      <c r="M538" s="25">
        <f>L538*VLOOKUP(D538,Lookups!$A$5:$E$10,5,FALSE)</f>
        <v/>
      </c>
    </row>
    <row r="539">
      <c r="A539" s="21" t="inlineStr">
        <is>
          <t>INV-10741</t>
        </is>
      </c>
      <c r="B539" s="22" t="n">
        <v>45827</v>
      </c>
      <c r="C539" s="21" t="inlineStr">
        <is>
          <t>R01</t>
        </is>
      </c>
      <c r="D539" s="21" t="inlineStr">
        <is>
          <t>P600</t>
        </is>
      </c>
      <c r="E539" s="21" t="n">
        <v>8</v>
      </c>
      <c r="F539" s="23" t="n">
        <v>0.05</v>
      </c>
      <c r="G539" s="24">
        <f>TEXT(B539,"mmm")</f>
        <v/>
      </c>
      <c r="H539" s="24">
        <f>HLOOKUP(C539,Lookups!$H$4:$K$5,2,FALSE)</f>
        <v/>
      </c>
      <c r="I539" s="24">
        <f>VLOOKUP(D539,Lookups!$A$5:$E$10,2,FALSE)</f>
        <v/>
      </c>
      <c r="J539" s="24">
        <f>VLOOKUP(D539,Lookups!$A$5:$E$10,3,FALSE)</f>
        <v/>
      </c>
      <c r="K539" s="25">
        <f>VLOOKUP(D539,Lookups!$A$5:$E$10,4,FALSE)</f>
        <v/>
      </c>
      <c r="L539" s="25">
        <f>E539*K539*(1-F539)</f>
        <v/>
      </c>
      <c r="M539" s="25">
        <f>L539*VLOOKUP(D539,Lookups!$A$5:$E$10,5,FALSE)</f>
        <v/>
      </c>
    </row>
    <row r="540">
      <c r="A540" s="21" t="inlineStr">
        <is>
          <t>INV-10754</t>
        </is>
      </c>
      <c r="B540" s="22" t="n">
        <v>45827</v>
      </c>
      <c r="C540" s="21" t="inlineStr">
        <is>
          <t>R02</t>
        </is>
      </c>
      <c r="D540" s="21" t="inlineStr">
        <is>
          <t>P200</t>
        </is>
      </c>
      <c r="E540" s="21" t="n">
        <v>14</v>
      </c>
      <c r="F540" s="23" t="n">
        <v>0.05</v>
      </c>
      <c r="G540" s="24">
        <f>TEXT(B540,"mmm")</f>
        <v/>
      </c>
      <c r="H540" s="24">
        <f>HLOOKUP(C540,Lookups!$H$4:$K$5,2,FALSE)</f>
        <v/>
      </c>
      <c r="I540" s="24">
        <f>VLOOKUP(D540,Lookups!$A$5:$E$10,2,FALSE)</f>
        <v/>
      </c>
      <c r="J540" s="24">
        <f>VLOOKUP(D540,Lookups!$A$5:$E$10,3,FALSE)</f>
        <v/>
      </c>
      <c r="K540" s="25">
        <f>VLOOKUP(D540,Lookups!$A$5:$E$10,4,FALSE)</f>
        <v/>
      </c>
      <c r="L540" s="25">
        <f>E540*K540*(1-F540)</f>
        <v/>
      </c>
      <c r="M540" s="25">
        <f>L540*VLOOKUP(D540,Lookups!$A$5:$E$10,5,FALSE)</f>
        <v/>
      </c>
    </row>
    <row r="541">
      <c r="A541" s="21" t="inlineStr">
        <is>
          <t>INV-10879</t>
        </is>
      </c>
      <c r="B541" s="22" t="n">
        <v>45827</v>
      </c>
      <c r="C541" s="21" t="inlineStr">
        <is>
          <t>R04</t>
        </is>
      </c>
      <c r="D541" s="21" t="inlineStr">
        <is>
          <t>P500</t>
        </is>
      </c>
      <c r="E541" s="21" t="n">
        <v>23</v>
      </c>
      <c r="F541" s="23" t="n">
        <v>0.05</v>
      </c>
      <c r="G541" s="24">
        <f>TEXT(B541,"mmm")</f>
        <v/>
      </c>
      <c r="H541" s="24">
        <f>HLOOKUP(C541,Lookups!$H$4:$K$5,2,FALSE)</f>
        <v/>
      </c>
      <c r="I541" s="24">
        <f>VLOOKUP(D541,Lookups!$A$5:$E$10,2,FALSE)</f>
        <v/>
      </c>
      <c r="J541" s="24">
        <f>VLOOKUP(D541,Lookups!$A$5:$E$10,3,FALSE)</f>
        <v/>
      </c>
      <c r="K541" s="25">
        <f>VLOOKUP(D541,Lookups!$A$5:$E$10,4,FALSE)</f>
        <v/>
      </c>
      <c r="L541" s="25">
        <f>E541*K541*(1-F541)</f>
        <v/>
      </c>
      <c r="M541" s="25">
        <f>L541*VLOOKUP(D541,Lookups!$A$5:$E$10,5,FALSE)</f>
        <v/>
      </c>
    </row>
    <row r="542">
      <c r="A542" s="21" t="inlineStr">
        <is>
          <t>INV-10948</t>
        </is>
      </c>
      <c r="B542" s="22" t="n">
        <v>45827</v>
      </c>
      <c r="C542" s="21" t="inlineStr">
        <is>
          <t>R02</t>
        </is>
      </c>
      <c r="D542" s="21" t="inlineStr">
        <is>
          <t>P300</t>
        </is>
      </c>
      <c r="E542" s="21" t="n">
        <v>22</v>
      </c>
      <c r="F542" s="23" t="n">
        <v>0</v>
      </c>
      <c r="G542" s="24">
        <f>TEXT(B542,"mmm")</f>
        <v/>
      </c>
      <c r="H542" s="24">
        <f>HLOOKUP(C542,Lookups!$H$4:$K$5,2,FALSE)</f>
        <v/>
      </c>
      <c r="I542" s="24">
        <f>VLOOKUP(D542,Lookups!$A$5:$E$10,2,FALSE)</f>
        <v/>
      </c>
      <c r="J542" s="24">
        <f>VLOOKUP(D542,Lookups!$A$5:$E$10,3,FALSE)</f>
        <v/>
      </c>
      <c r="K542" s="25">
        <f>VLOOKUP(D542,Lookups!$A$5:$E$10,4,FALSE)</f>
        <v/>
      </c>
      <c r="L542" s="25">
        <f>E542*K542*(1-F542)</f>
        <v/>
      </c>
      <c r="M542" s="25">
        <f>L542*VLOOKUP(D542,Lookups!$A$5:$E$10,5,FALSE)</f>
        <v/>
      </c>
    </row>
    <row r="543">
      <c r="A543" s="21" t="inlineStr">
        <is>
          <t>INV-10075</t>
        </is>
      </c>
      <c r="B543" s="22" t="n">
        <v>45828</v>
      </c>
      <c r="C543" s="21" t="inlineStr">
        <is>
          <t>R03</t>
        </is>
      </c>
      <c r="D543" s="21" t="inlineStr">
        <is>
          <t>P200</t>
        </is>
      </c>
      <c r="E543" s="21" t="n">
        <v>6</v>
      </c>
      <c r="F543" s="23" t="n">
        <v>0.1</v>
      </c>
      <c r="G543" s="24">
        <f>TEXT(B543,"mmm")</f>
        <v/>
      </c>
      <c r="H543" s="24">
        <f>HLOOKUP(C543,Lookups!$H$4:$K$5,2,FALSE)</f>
        <v/>
      </c>
      <c r="I543" s="24">
        <f>VLOOKUP(D543,Lookups!$A$5:$E$10,2,FALSE)</f>
        <v/>
      </c>
      <c r="J543" s="24">
        <f>VLOOKUP(D543,Lookups!$A$5:$E$10,3,FALSE)</f>
        <v/>
      </c>
      <c r="K543" s="25">
        <f>VLOOKUP(D543,Lookups!$A$5:$E$10,4,FALSE)</f>
        <v/>
      </c>
      <c r="L543" s="25">
        <f>E543*K543*(1-F543)</f>
        <v/>
      </c>
      <c r="M543" s="25">
        <f>L543*VLOOKUP(D543,Lookups!$A$5:$E$10,5,FALSE)</f>
        <v/>
      </c>
    </row>
    <row r="544">
      <c r="A544" s="21" t="inlineStr">
        <is>
          <t>INV-10510</t>
        </is>
      </c>
      <c r="B544" s="22" t="n">
        <v>45828</v>
      </c>
      <c r="C544" s="21" t="inlineStr">
        <is>
          <t>R01</t>
        </is>
      </c>
      <c r="D544" s="21" t="inlineStr">
        <is>
          <t>P300</t>
        </is>
      </c>
      <c r="E544" s="21" t="n">
        <v>7</v>
      </c>
      <c r="F544" s="23" t="n">
        <v>0</v>
      </c>
      <c r="G544" s="24">
        <f>TEXT(B544,"mmm")</f>
        <v/>
      </c>
      <c r="H544" s="24">
        <f>HLOOKUP(C544,Lookups!$H$4:$K$5,2,FALSE)</f>
        <v/>
      </c>
      <c r="I544" s="24">
        <f>VLOOKUP(D544,Lookups!$A$5:$E$10,2,FALSE)</f>
        <v/>
      </c>
      <c r="J544" s="24">
        <f>VLOOKUP(D544,Lookups!$A$5:$E$10,3,FALSE)</f>
        <v/>
      </c>
      <c r="K544" s="25">
        <f>VLOOKUP(D544,Lookups!$A$5:$E$10,4,FALSE)</f>
        <v/>
      </c>
      <c r="L544" s="25">
        <f>E544*K544*(1-F544)</f>
        <v/>
      </c>
      <c r="M544" s="25">
        <f>L544*VLOOKUP(D544,Lookups!$A$5:$E$10,5,FALSE)</f>
        <v/>
      </c>
    </row>
    <row r="545">
      <c r="A545" s="21" t="inlineStr">
        <is>
          <t>INV-10687</t>
        </is>
      </c>
      <c r="B545" s="22" t="n">
        <v>45829</v>
      </c>
      <c r="C545" s="21" t="inlineStr">
        <is>
          <t>R04</t>
        </is>
      </c>
      <c r="D545" s="21" t="inlineStr">
        <is>
          <t>P100</t>
        </is>
      </c>
      <c r="E545" s="21" t="n">
        <v>24</v>
      </c>
      <c r="F545" s="23" t="n">
        <v>0.05</v>
      </c>
      <c r="G545" s="24">
        <f>TEXT(B545,"mmm")</f>
        <v/>
      </c>
      <c r="H545" s="24">
        <f>HLOOKUP(C545,Lookups!$H$4:$K$5,2,FALSE)</f>
        <v/>
      </c>
      <c r="I545" s="24">
        <f>VLOOKUP(D545,Lookups!$A$5:$E$10,2,FALSE)</f>
        <v/>
      </c>
      <c r="J545" s="24">
        <f>VLOOKUP(D545,Lookups!$A$5:$E$10,3,FALSE)</f>
        <v/>
      </c>
      <c r="K545" s="25">
        <f>VLOOKUP(D545,Lookups!$A$5:$E$10,4,FALSE)</f>
        <v/>
      </c>
      <c r="L545" s="25">
        <f>E545*K545*(1-F545)</f>
        <v/>
      </c>
      <c r="M545" s="25">
        <f>L545*VLOOKUP(D545,Lookups!$A$5:$E$10,5,FALSE)</f>
        <v/>
      </c>
    </row>
    <row r="546">
      <c r="A546" s="21" t="inlineStr">
        <is>
          <t>INV-10123</t>
        </is>
      </c>
      <c r="B546" s="22" t="n">
        <v>45830</v>
      </c>
      <c r="C546" s="21" t="inlineStr">
        <is>
          <t>R04</t>
        </is>
      </c>
      <c r="D546" s="21" t="inlineStr">
        <is>
          <t>P600</t>
        </is>
      </c>
      <c r="E546" s="21" t="n">
        <v>24</v>
      </c>
      <c r="F546" s="23" t="n">
        <v>0</v>
      </c>
      <c r="G546" s="24">
        <f>TEXT(B546,"mmm")</f>
        <v/>
      </c>
      <c r="H546" s="24">
        <f>HLOOKUP(C546,Lookups!$H$4:$K$5,2,FALSE)</f>
        <v/>
      </c>
      <c r="I546" s="24">
        <f>VLOOKUP(D546,Lookups!$A$5:$E$10,2,FALSE)</f>
        <v/>
      </c>
      <c r="J546" s="24">
        <f>VLOOKUP(D546,Lookups!$A$5:$E$10,3,FALSE)</f>
        <v/>
      </c>
      <c r="K546" s="25">
        <f>VLOOKUP(D546,Lookups!$A$5:$E$10,4,FALSE)</f>
        <v/>
      </c>
      <c r="L546" s="25">
        <f>E546*K546*(1-F546)</f>
        <v/>
      </c>
      <c r="M546" s="25">
        <f>L546*VLOOKUP(D546,Lookups!$A$5:$E$10,5,FALSE)</f>
        <v/>
      </c>
    </row>
    <row r="547">
      <c r="A547" s="21" t="inlineStr">
        <is>
          <t>INV-10632</t>
        </is>
      </c>
      <c r="B547" s="22" t="n">
        <v>45830</v>
      </c>
      <c r="C547" s="21" t="inlineStr">
        <is>
          <t>R02</t>
        </is>
      </c>
      <c r="D547" s="21" t="inlineStr">
        <is>
          <t>P500</t>
        </is>
      </c>
      <c r="E547" s="21" t="n">
        <v>19</v>
      </c>
      <c r="F547" s="23" t="n">
        <v>0.1</v>
      </c>
      <c r="G547" s="24">
        <f>TEXT(B547,"mmm")</f>
        <v/>
      </c>
      <c r="H547" s="24">
        <f>HLOOKUP(C547,Lookups!$H$4:$K$5,2,FALSE)</f>
        <v/>
      </c>
      <c r="I547" s="24">
        <f>VLOOKUP(D547,Lookups!$A$5:$E$10,2,FALSE)</f>
        <v/>
      </c>
      <c r="J547" s="24">
        <f>VLOOKUP(D547,Lookups!$A$5:$E$10,3,FALSE)</f>
        <v/>
      </c>
      <c r="K547" s="25">
        <f>VLOOKUP(D547,Lookups!$A$5:$E$10,4,FALSE)</f>
        <v/>
      </c>
      <c r="L547" s="25">
        <f>E547*K547*(1-F547)</f>
        <v/>
      </c>
      <c r="M547" s="25">
        <f>L547*VLOOKUP(D547,Lookups!$A$5:$E$10,5,FALSE)</f>
        <v/>
      </c>
    </row>
    <row r="548">
      <c r="A548" s="21" t="inlineStr">
        <is>
          <t>INV-10807</t>
        </is>
      </c>
      <c r="B548" s="22" t="n">
        <v>45830</v>
      </c>
      <c r="C548" s="21" t="inlineStr">
        <is>
          <t>R03</t>
        </is>
      </c>
      <c r="D548" s="21" t="inlineStr">
        <is>
          <t>P300</t>
        </is>
      </c>
      <c r="E548" s="21" t="n">
        <v>9</v>
      </c>
      <c r="F548" s="23" t="n">
        <v>0.05</v>
      </c>
      <c r="G548" s="24">
        <f>TEXT(B548,"mmm")</f>
        <v/>
      </c>
      <c r="H548" s="24">
        <f>HLOOKUP(C548,Lookups!$H$4:$K$5,2,FALSE)</f>
        <v/>
      </c>
      <c r="I548" s="24">
        <f>VLOOKUP(D548,Lookups!$A$5:$E$10,2,FALSE)</f>
        <v/>
      </c>
      <c r="J548" s="24">
        <f>VLOOKUP(D548,Lookups!$A$5:$E$10,3,FALSE)</f>
        <v/>
      </c>
      <c r="K548" s="25">
        <f>VLOOKUP(D548,Lookups!$A$5:$E$10,4,FALSE)</f>
        <v/>
      </c>
      <c r="L548" s="25">
        <f>E548*K548*(1-F548)</f>
        <v/>
      </c>
      <c r="M548" s="25">
        <f>L548*VLOOKUP(D548,Lookups!$A$5:$E$10,5,FALSE)</f>
        <v/>
      </c>
    </row>
    <row r="549">
      <c r="A549" s="21" t="inlineStr">
        <is>
          <t>INV-10049</t>
        </is>
      </c>
      <c r="B549" s="22" t="n">
        <v>45831</v>
      </c>
      <c r="C549" s="21" t="inlineStr">
        <is>
          <t>R02</t>
        </is>
      </c>
      <c r="D549" s="21" t="inlineStr">
        <is>
          <t>P100</t>
        </is>
      </c>
      <c r="E549" s="21" t="n">
        <v>7</v>
      </c>
      <c r="F549" s="23" t="n">
        <v>0</v>
      </c>
      <c r="G549" s="24">
        <f>TEXT(B549,"mmm")</f>
        <v/>
      </c>
      <c r="H549" s="24">
        <f>HLOOKUP(C549,Lookups!$H$4:$K$5,2,FALSE)</f>
        <v/>
      </c>
      <c r="I549" s="24">
        <f>VLOOKUP(D549,Lookups!$A$5:$E$10,2,FALSE)</f>
        <v/>
      </c>
      <c r="J549" s="24">
        <f>VLOOKUP(D549,Lookups!$A$5:$E$10,3,FALSE)</f>
        <v/>
      </c>
      <c r="K549" s="25">
        <f>VLOOKUP(D549,Lookups!$A$5:$E$10,4,FALSE)</f>
        <v/>
      </c>
      <c r="L549" s="25">
        <f>E549*K549*(1-F549)</f>
        <v/>
      </c>
      <c r="M549" s="25">
        <f>L549*VLOOKUP(D549,Lookups!$A$5:$E$10,5,FALSE)</f>
        <v/>
      </c>
    </row>
    <row r="550">
      <c r="A550" s="21" t="inlineStr">
        <is>
          <t>INV-10319</t>
        </is>
      </c>
      <c r="B550" s="22" t="n">
        <v>45831</v>
      </c>
      <c r="C550" s="21" t="inlineStr">
        <is>
          <t>R01</t>
        </is>
      </c>
      <c r="D550" s="21" t="inlineStr">
        <is>
          <t>P600</t>
        </is>
      </c>
      <c r="E550" s="21" t="n">
        <v>21</v>
      </c>
      <c r="F550" s="23" t="n">
        <v>0.05</v>
      </c>
      <c r="G550" s="24">
        <f>TEXT(B550,"mmm")</f>
        <v/>
      </c>
      <c r="H550" s="24">
        <f>HLOOKUP(C550,Lookups!$H$4:$K$5,2,FALSE)</f>
        <v/>
      </c>
      <c r="I550" s="24">
        <f>VLOOKUP(D550,Lookups!$A$5:$E$10,2,FALSE)</f>
        <v/>
      </c>
      <c r="J550" s="24">
        <f>VLOOKUP(D550,Lookups!$A$5:$E$10,3,FALSE)</f>
        <v/>
      </c>
      <c r="K550" s="25">
        <f>VLOOKUP(D550,Lookups!$A$5:$E$10,4,FALSE)</f>
        <v/>
      </c>
      <c r="L550" s="25">
        <f>E550*K550*(1-F550)</f>
        <v/>
      </c>
      <c r="M550" s="25">
        <f>L550*VLOOKUP(D550,Lookups!$A$5:$E$10,5,FALSE)</f>
        <v/>
      </c>
    </row>
    <row r="551">
      <c r="A551" s="21" t="inlineStr">
        <is>
          <t>INV-10162</t>
        </is>
      </c>
      <c r="B551" s="22" t="n">
        <v>45832</v>
      </c>
      <c r="C551" s="21" t="inlineStr">
        <is>
          <t>R01</t>
        </is>
      </c>
      <c r="D551" s="21" t="inlineStr">
        <is>
          <t>P200</t>
        </is>
      </c>
      <c r="E551" s="21" t="n">
        <v>9</v>
      </c>
      <c r="F551" s="23" t="n">
        <v>0.1</v>
      </c>
      <c r="G551" s="24">
        <f>TEXT(B551,"mmm")</f>
        <v/>
      </c>
      <c r="H551" s="24">
        <f>HLOOKUP(C551,Lookups!$H$4:$K$5,2,FALSE)</f>
        <v/>
      </c>
      <c r="I551" s="24">
        <f>VLOOKUP(D551,Lookups!$A$5:$E$10,2,FALSE)</f>
        <v/>
      </c>
      <c r="J551" s="24">
        <f>VLOOKUP(D551,Lookups!$A$5:$E$10,3,FALSE)</f>
        <v/>
      </c>
      <c r="K551" s="25">
        <f>VLOOKUP(D551,Lookups!$A$5:$E$10,4,FALSE)</f>
        <v/>
      </c>
      <c r="L551" s="25">
        <f>E551*K551*(1-F551)</f>
        <v/>
      </c>
      <c r="M551" s="25">
        <f>L551*VLOOKUP(D551,Lookups!$A$5:$E$10,5,FALSE)</f>
        <v/>
      </c>
    </row>
    <row r="552">
      <c r="A552" s="21" t="inlineStr">
        <is>
          <t>INV-10878</t>
        </is>
      </c>
      <c r="B552" s="22" t="n">
        <v>45832</v>
      </c>
      <c r="C552" s="21" t="inlineStr">
        <is>
          <t>R01</t>
        </is>
      </c>
      <c r="D552" s="21" t="inlineStr">
        <is>
          <t>P300</t>
        </is>
      </c>
      <c r="E552" s="21" t="n">
        <v>8</v>
      </c>
      <c r="F552" s="23" t="n">
        <v>0.1</v>
      </c>
      <c r="G552" s="24">
        <f>TEXT(B552,"mmm")</f>
        <v/>
      </c>
      <c r="H552" s="24">
        <f>HLOOKUP(C552,Lookups!$H$4:$K$5,2,FALSE)</f>
        <v/>
      </c>
      <c r="I552" s="24">
        <f>VLOOKUP(D552,Lookups!$A$5:$E$10,2,FALSE)</f>
        <v/>
      </c>
      <c r="J552" s="24">
        <f>VLOOKUP(D552,Lookups!$A$5:$E$10,3,FALSE)</f>
        <v/>
      </c>
      <c r="K552" s="25">
        <f>VLOOKUP(D552,Lookups!$A$5:$E$10,4,FALSE)</f>
        <v/>
      </c>
      <c r="L552" s="25">
        <f>E552*K552*(1-F552)</f>
        <v/>
      </c>
      <c r="M552" s="25">
        <f>L552*VLOOKUP(D552,Lookups!$A$5:$E$10,5,FALSE)</f>
        <v/>
      </c>
    </row>
    <row r="553">
      <c r="A553" s="21" t="inlineStr">
        <is>
          <t>INV-11022</t>
        </is>
      </c>
      <c r="B553" s="22" t="n">
        <v>45832</v>
      </c>
      <c r="C553" s="21" t="inlineStr">
        <is>
          <t>R03</t>
        </is>
      </c>
      <c r="D553" s="21" t="inlineStr">
        <is>
          <t>P100</t>
        </is>
      </c>
      <c r="E553" s="21" t="n">
        <v>18</v>
      </c>
      <c r="F553" s="23" t="n">
        <v>0.05</v>
      </c>
      <c r="G553" s="24">
        <f>TEXT(B553,"mmm")</f>
        <v/>
      </c>
      <c r="H553" s="24">
        <f>HLOOKUP(C553,Lookups!$H$4:$K$5,2,FALSE)</f>
        <v/>
      </c>
      <c r="I553" s="24">
        <f>VLOOKUP(D553,Lookups!$A$5:$E$10,2,FALSE)</f>
        <v/>
      </c>
      <c r="J553" s="24">
        <f>VLOOKUP(D553,Lookups!$A$5:$E$10,3,FALSE)</f>
        <v/>
      </c>
      <c r="K553" s="25">
        <f>VLOOKUP(D553,Lookups!$A$5:$E$10,4,FALSE)</f>
        <v/>
      </c>
      <c r="L553" s="25">
        <f>E553*K553*(1-F553)</f>
        <v/>
      </c>
      <c r="M553" s="25">
        <f>L553*VLOOKUP(D553,Lookups!$A$5:$E$10,5,FALSE)</f>
        <v/>
      </c>
    </row>
    <row r="554">
      <c r="A554" s="21" t="inlineStr">
        <is>
          <t>INV-10585</t>
        </is>
      </c>
      <c r="B554" s="22" t="n">
        <v>45833</v>
      </c>
      <c r="C554" s="21" t="inlineStr">
        <is>
          <t>R02</t>
        </is>
      </c>
      <c r="D554" s="21" t="inlineStr">
        <is>
          <t>P400</t>
        </is>
      </c>
      <c r="E554" s="21" t="n">
        <v>17</v>
      </c>
      <c r="F554" s="23" t="n">
        <v>0.1</v>
      </c>
      <c r="G554" s="24">
        <f>TEXT(B554,"mmm")</f>
        <v/>
      </c>
      <c r="H554" s="24">
        <f>HLOOKUP(C554,Lookups!$H$4:$K$5,2,FALSE)</f>
        <v/>
      </c>
      <c r="I554" s="24">
        <f>VLOOKUP(D554,Lookups!$A$5:$E$10,2,FALSE)</f>
        <v/>
      </c>
      <c r="J554" s="24">
        <f>VLOOKUP(D554,Lookups!$A$5:$E$10,3,FALSE)</f>
        <v/>
      </c>
      <c r="K554" s="25">
        <f>VLOOKUP(D554,Lookups!$A$5:$E$10,4,FALSE)</f>
        <v/>
      </c>
      <c r="L554" s="25">
        <f>E554*K554*(1-F554)</f>
        <v/>
      </c>
      <c r="M554" s="25">
        <f>L554*VLOOKUP(D554,Lookups!$A$5:$E$10,5,FALSE)</f>
        <v/>
      </c>
    </row>
    <row r="555">
      <c r="A555" s="21" t="inlineStr">
        <is>
          <t>INV-10633</t>
        </is>
      </c>
      <c r="B555" s="22" t="n">
        <v>45833</v>
      </c>
      <c r="C555" s="21" t="inlineStr">
        <is>
          <t>R01</t>
        </is>
      </c>
      <c r="D555" s="21" t="inlineStr">
        <is>
          <t>P600</t>
        </is>
      </c>
      <c r="E555" s="21" t="n">
        <v>2</v>
      </c>
      <c r="F555" s="23" t="n">
        <v>0</v>
      </c>
      <c r="G555" s="24">
        <f>TEXT(B555,"mmm")</f>
        <v/>
      </c>
      <c r="H555" s="24">
        <f>HLOOKUP(C555,Lookups!$H$4:$K$5,2,FALSE)</f>
        <v/>
      </c>
      <c r="I555" s="24">
        <f>VLOOKUP(D555,Lookups!$A$5:$E$10,2,FALSE)</f>
        <v/>
      </c>
      <c r="J555" s="24">
        <f>VLOOKUP(D555,Lookups!$A$5:$E$10,3,FALSE)</f>
        <v/>
      </c>
      <c r="K555" s="25">
        <f>VLOOKUP(D555,Lookups!$A$5:$E$10,4,FALSE)</f>
        <v/>
      </c>
      <c r="L555" s="25">
        <f>E555*K555*(1-F555)</f>
        <v/>
      </c>
      <c r="M555" s="25">
        <f>L555*VLOOKUP(D555,Lookups!$A$5:$E$10,5,FALSE)</f>
        <v/>
      </c>
    </row>
    <row r="556">
      <c r="A556" s="21" t="inlineStr">
        <is>
          <t>INV-10750</t>
        </is>
      </c>
      <c r="B556" s="22" t="n">
        <v>45833</v>
      </c>
      <c r="C556" s="21" t="inlineStr">
        <is>
          <t>R04</t>
        </is>
      </c>
      <c r="D556" s="21" t="inlineStr">
        <is>
          <t>P200</t>
        </is>
      </c>
      <c r="E556" s="21" t="n">
        <v>6</v>
      </c>
      <c r="F556" s="23" t="n">
        <v>0</v>
      </c>
      <c r="G556" s="24">
        <f>TEXT(B556,"mmm")</f>
        <v/>
      </c>
      <c r="H556" s="24">
        <f>HLOOKUP(C556,Lookups!$H$4:$K$5,2,FALSE)</f>
        <v/>
      </c>
      <c r="I556" s="24">
        <f>VLOOKUP(D556,Lookups!$A$5:$E$10,2,FALSE)</f>
        <v/>
      </c>
      <c r="J556" s="24">
        <f>VLOOKUP(D556,Lookups!$A$5:$E$10,3,FALSE)</f>
        <v/>
      </c>
      <c r="K556" s="25">
        <f>VLOOKUP(D556,Lookups!$A$5:$E$10,4,FALSE)</f>
        <v/>
      </c>
      <c r="L556" s="25">
        <f>E556*K556*(1-F556)</f>
        <v/>
      </c>
      <c r="M556" s="25">
        <f>L556*VLOOKUP(D556,Lookups!$A$5:$E$10,5,FALSE)</f>
        <v/>
      </c>
    </row>
    <row r="557">
      <c r="A557" s="21" t="inlineStr">
        <is>
          <t>INV-10813</t>
        </is>
      </c>
      <c r="B557" s="22" t="n">
        <v>45833</v>
      </c>
      <c r="C557" s="21" t="inlineStr">
        <is>
          <t>R02</t>
        </is>
      </c>
      <c r="D557" s="21" t="inlineStr">
        <is>
          <t>P600</t>
        </is>
      </c>
      <c r="E557" s="21" t="n">
        <v>22</v>
      </c>
      <c r="F557" s="23" t="n">
        <v>0.1</v>
      </c>
      <c r="G557" s="24">
        <f>TEXT(B557,"mmm")</f>
        <v/>
      </c>
      <c r="H557" s="24">
        <f>HLOOKUP(C557,Lookups!$H$4:$K$5,2,FALSE)</f>
        <v/>
      </c>
      <c r="I557" s="24">
        <f>VLOOKUP(D557,Lookups!$A$5:$E$10,2,FALSE)</f>
        <v/>
      </c>
      <c r="J557" s="24">
        <f>VLOOKUP(D557,Lookups!$A$5:$E$10,3,FALSE)</f>
        <v/>
      </c>
      <c r="K557" s="25">
        <f>VLOOKUP(D557,Lookups!$A$5:$E$10,4,FALSE)</f>
        <v/>
      </c>
      <c r="L557" s="25">
        <f>E557*K557*(1-F557)</f>
        <v/>
      </c>
      <c r="M557" s="25">
        <f>L557*VLOOKUP(D557,Lookups!$A$5:$E$10,5,FALSE)</f>
        <v/>
      </c>
    </row>
    <row r="558">
      <c r="A558" s="21" t="inlineStr">
        <is>
          <t>INV-10835</t>
        </is>
      </c>
      <c r="B558" s="22" t="n">
        <v>45833</v>
      </c>
      <c r="C558" s="21" t="inlineStr">
        <is>
          <t>R03</t>
        </is>
      </c>
      <c r="D558" s="21" t="inlineStr">
        <is>
          <t>P400</t>
        </is>
      </c>
      <c r="E558" s="21" t="n">
        <v>25</v>
      </c>
      <c r="F558" s="23" t="n">
        <v>0</v>
      </c>
      <c r="G558" s="24">
        <f>TEXT(B558,"mmm")</f>
        <v/>
      </c>
      <c r="H558" s="24">
        <f>HLOOKUP(C558,Lookups!$H$4:$K$5,2,FALSE)</f>
        <v/>
      </c>
      <c r="I558" s="24">
        <f>VLOOKUP(D558,Lookups!$A$5:$E$10,2,FALSE)</f>
        <v/>
      </c>
      <c r="J558" s="24">
        <f>VLOOKUP(D558,Lookups!$A$5:$E$10,3,FALSE)</f>
        <v/>
      </c>
      <c r="K558" s="25">
        <f>VLOOKUP(D558,Lookups!$A$5:$E$10,4,FALSE)</f>
        <v/>
      </c>
      <c r="L558" s="25">
        <f>E558*K558*(1-F558)</f>
        <v/>
      </c>
      <c r="M558" s="25">
        <f>L558*VLOOKUP(D558,Lookups!$A$5:$E$10,5,FALSE)</f>
        <v/>
      </c>
    </row>
    <row r="559">
      <c r="A559" s="21" t="inlineStr">
        <is>
          <t>INV-11172</t>
        </is>
      </c>
      <c r="B559" s="22" t="n">
        <v>45833</v>
      </c>
      <c r="C559" s="21" t="inlineStr">
        <is>
          <t>R01</t>
        </is>
      </c>
      <c r="D559" s="21" t="inlineStr">
        <is>
          <t>P600</t>
        </is>
      </c>
      <c r="E559" s="21" t="n">
        <v>10</v>
      </c>
      <c r="F559" s="23" t="n">
        <v>0.1</v>
      </c>
      <c r="G559" s="24">
        <f>TEXT(B559,"mmm")</f>
        <v/>
      </c>
      <c r="H559" s="24">
        <f>HLOOKUP(C559,Lookups!$H$4:$K$5,2,FALSE)</f>
        <v/>
      </c>
      <c r="I559" s="24">
        <f>VLOOKUP(D559,Lookups!$A$5:$E$10,2,FALSE)</f>
        <v/>
      </c>
      <c r="J559" s="24">
        <f>VLOOKUP(D559,Lookups!$A$5:$E$10,3,FALSE)</f>
        <v/>
      </c>
      <c r="K559" s="25">
        <f>VLOOKUP(D559,Lookups!$A$5:$E$10,4,FALSE)</f>
        <v/>
      </c>
      <c r="L559" s="25">
        <f>E559*K559*(1-F559)</f>
        <v/>
      </c>
      <c r="M559" s="25">
        <f>L559*VLOOKUP(D559,Lookups!$A$5:$E$10,5,FALSE)</f>
        <v/>
      </c>
    </row>
    <row r="560">
      <c r="A560" s="21" t="inlineStr">
        <is>
          <t>INV-10357</t>
        </is>
      </c>
      <c r="B560" s="22" t="n">
        <v>45834</v>
      </c>
      <c r="C560" s="21" t="inlineStr">
        <is>
          <t>R01</t>
        </is>
      </c>
      <c r="D560" s="21" t="inlineStr">
        <is>
          <t>P200</t>
        </is>
      </c>
      <c r="E560" s="21" t="n">
        <v>25</v>
      </c>
      <c r="F560" s="23" t="n">
        <v>0.05</v>
      </c>
      <c r="G560" s="24">
        <f>TEXT(B560,"mmm")</f>
        <v/>
      </c>
      <c r="H560" s="24">
        <f>HLOOKUP(C560,Lookups!$H$4:$K$5,2,FALSE)</f>
        <v/>
      </c>
      <c r="I560" s="24">
        <f>VLOOKUP(D560,Lookups!$A$5:$E$10,2,FALSE)</f>
        <v/>
      </c>
      <c r="J560" s="24">
        <f>VLOOKUP(D560,Lookups!$A$5:$E$10,3,FALSE)</f>
        <v/>
      </c>
      <c r="K560" s="25">
        <f>VLOOKUP(D560,Lookups!$A$5:$E$10,4,FALSE)</f>
        <v/>
      </c>
      <c r="L560" s="25">
        <f>E560*K560*(1-F560)</f>
        <v/>
      </c>
      <c r="M560" s="25">
        <f>L560*VLOOKUP(D560,Lookups!$A$5:$E$10,5,FALSE)</f>
        <v/>
      </c>
    </row>
    <row r="561">
      <c r="A561" s="21" t="inlineStr">
        <is>
          <t>INV-10407</t>
        </is>
      </c>
      <c r="B561" s="22" t="n">
        <v>45834</v>
      </c>
      <c r="C561" s="21" t="inlineStr">
        <is>
          <t>R02</t>
        </is>
      </c>
      <c r="D561" s="21" t="inlineStr">
        <is>
          <t>P400</t>
        </is>
      </c>
      <c r="E561" s="21" t="n">
        <v>25</v>
      </c>
      <c r="F561" s="23" t="n">
        <v>0.05</v>
      </c>
      <c r="G561" s="24">
        <f>TEXT(B561,"mmm")</f>
        <v/>
      </c>
      <c r="H561" s="24">
        <f>HLOOKUP(C561,Lookups!$H$4:$K$5,2,FALSE)</f>
        <v/>
      </c>
      <c r="I561" s="24">
        <f>VLOOKUP(D561,Lookups!$A$5:$E$10,2,FALSE)</f>
        <v/>
      </c>
      <c r="J561" s="24">
        <f>VLOOKUP(D561,Lookups!$A$5:$E$10,3,FALSE)</f>
        <v/>
      </c>
      <c r="K561" s="25">
        <f>VLOOKUP(D561,Lookups!$A$5:$E$10,4,FALSE)</f>
        <v/>
      </c>
      <c r="L561" s="25">
        <f>E561*K561*(1-F561)</f>
        <v/>
      </c>
      <c r="M561" s="25">
        <f>L561*VLOOKUP(D561,Lookups!$A$5:$E$10,5,FALSE)</f>
        <v/>
      </c>
    </row>
    <row r="562">
      <c r="A562" s="21" t="inlineStr">
        <is>
          <t>INV-10718</t>
        </is>
      </c>
      <c r="B562" s="22" t="n">
        <v>45834</v>
      </c>
      <c r="C562" s="21" t="inlineStr">
        <is>
          <t>R03</t>
        </is>
      </c>
      <c r="D562" s="21" t="inlineStr">
        <is>
          <t>P500</t>
        </is>
      </c>
      <c r="E562" s="21" t="n">
        <v>13</v>
      </c>
      <c r="F562" s="23" t="n">
        <v>0.05</v>
      </c>
      <c r="G562" s="24">
        <f>TEXT(B562,"mmm")</f>
        <v/>
      </c>
      <c r="H562" s="24">
        <f>HLOOKUP(C562,Lookups!$H$4:$K$5,2,FALSE)</f>
        <v/>
      </c>
      <c r="I562" s="24">
        <f>VLOOKUP(D562,Lookups!$A$5:$E$10,2,FALSE)</f>
        <v/>
      </c>
      <c r="J562" s="24">
        <f>VLOOKUP(D562,Lookups!$A$5:$E$10,3,FALSE)</f>
        <v/>
      </c>
      <c r="K562" s="25">
        <f>VLOOKUP(D562,Lookups!$A$5:$E$10,4,FALSE)</f>
        <v/>
      </c>
      <c r="L562" s="25">
        <f>E562*K562*(1-F562)</f>
        <v/>
      </c>
      <c r="M562" s="25">
        <f>L562*VLOOKUP(D562,Lookups!$A$5:$E$10,5,FALSE)</f>
        <v/>
      </c>
    </row>
    <row r="563">
      <c r="A563" s="21" t="inlineStr">
        <is>
          <t>INV-11056</t>
        </is>
      </c>
      <c r="B563" s="22" t="n">
        <v>45834</v>
      </c>
      <c r="C563" s="21" t="inlineStr">
        <is>
          <t>R04</t>
        </is>
      </c>
      <c r="D563" s="21" t="inlineStr">
        <is>
          <t>P100</t>
        </is>
      </c>
      <c r="E563" s="21" t="n">
        <v>4</v>
      </c>
      <c r="F563" s="23" t="n">
        <v>0.05</v>
      </c>
      <c r="G563" s="24">
        <f>TEXT(B563,"mmm")</f>
        <v/>
      </c>
      <c r="H563" s="24">
        <f>HLOOKUP(C563,Lookups!$H$4:$K$5,2,FALSE)</f>
        <v/>
      </c>
      <c r="I563" s="24">
        <f>VLOOKUP(D563,Lookups!$A$5:$E$10,2,FALSE)</f>
        <v/>
      </c>
      <c r="J563" s="24">
        <f>VLOOKUP(D563,Lookups!$A$5:$E$10,3,FALSE)</f>
        <v/>
      </c>
      <c r="K563" s="25">
        <f>VLOOKUP(D563,Lookups!$A$5:$E$10,4,FALSE)</f>
        <v/>
      </c>
      <c r="L563" s="25">
        <f>E563*K563*(1-F563)</f>
        <v/>
      </c>
      <c r="M563" s="25">
        <f>L563*VLOOKUP(D563,Lookups!$A$5:$E$10,5,FALSE)</f>
        <v/>
      </c>
    </row>
    <row r="564">
      <c r="A564" s="21" t="inlineStr">
        <is>
          <t>INV-11167</t>
        </is>
      </c>
      <c r="B564" s="22" t="n">
        <v>45834</v>
      </c>
      <c r="C564" s="21" t="inlineStr">
        <is>
          <t>R01</t>
        </is>
      </c>
      <c r="D564" s="21" t="inlineStr">
        <is>
          <t>P500</t>
        </is>
      </c>
      <c r="E564" s="21" t="n">
        <v>25</v>
      </c>
      <c r="F564" s="23" t="n">
        <v>0.05</v>
      </c>
      <c r="G564" s="24">
        <f>TEXT(B564,"mmm")</f>
        <v/>
      </c>
      <c r="H564" s="24">
        <f>HLOOKUP(C564,Lookups!$H$4:$K$5,2,FALSE)</f>
        <v/>
      </c>
      <c r="I564" s="24">
        <f>VLOOKUP(D564,Lookups!$A$5:$E$10,2,FALSE)</f>
        <v/>
      </c>
      <c r="J564" s="24">
        <f>VLOOKUP(D564,Lookups!$A$5:$E$10,3,FALSE)</f>
        <v/>
      </c>
      <c r="K564" s="25">
        <f>VLOOKUP(D564,Lookups!$A$5:$E$10,4,FALSE)</f>
        <v/>
      </c>
      <c r="L564" s="25">
        <f>E564*K564*(1-F564)</f>
        <v/>
      </c>
      <c r="M564" s="25">
        <f>L564*VLOOKUP(D564,Lookups!$A$5:$E$10,5,FALSE)</f>
        <v/>
      </c>
    </row>
    <row r="565">
      <c r="A565" s="21" t="inlineStr">
        <is>
          <t>INV-10396</t>
        </is>
      </c>
      <c r="B565" s="22" t="n">
        <v>45835</v>
      </c>
      <c r="C565" s="21" t="inlineStr">
        <is>
          <t>R03</t>
        </is>
      </c>
      <c r="D565" s="21" t="inlineStr">
        <is>
          <t>P500</t>
        </is>
      </c>
      <c r="E565" s="21" t="n">
        <v>3</v>
      </c>
      <c r="F565" s="23" t="n">
        <v>0.05</v>
      </c>
      <c r="G565" s="24">
        <f>TEXT(B565,"mmm")</f>
        <v/>
      </c>
      <c r="H565" s="24">
        <f>HLOOKUP(C565,Lookups!$H$4:$K$5,2,FALSE)</f>
        <v/>
      </c>
      <c r="I565" s="24">
        <f>VLOOKUP(D565,Lookups!$A$5:$E$10,2,FALSE)</f>
        <v/>
      </c>
      <c r="J565" s="24">
        <f>VLOOKUP(D565,Lookups!$A$5:$E$10,3,FALSE)</f>
        <v/>
      </c>
      <c r="K565" s="25">
        <f>VLOOKUP(D565,Lookups!$A$5:$E$10,4,FALSE)</f>
        <v/>
      </c>
      <c r="L565" s="25">
        <f>E565*K565*(1-F565)</f>
        <v/>
      </c>
      <c r="M565" s="25">
        <f>L565*VLOOKUP(D565,Lookups!$A$5:$E$10,5,FALSE)</f>
        <v/>
      </c>
    </row>
    <row r="566">
      <c r="A566" s="21" t="inlineStr">
        <is>
          <t>INV-10446</t>
        </is>
      </c>
      <c r="B566" s="22" t="n">
        <v>45835</v>
      </c>
      <c r="C566" s="21" t="inlineStr">
        <is>
          <t>R03</t>
        </is>
      </c>
      <c r="D566" s="21" t="inlineStr">
        <is>
          <t>P400</t>
        </is>
      </c>
      <c r="E566" s="21" t="n">
        <v>24</v>
      </c>
      <c r="F566" s="23" t="n">
        <v>0.1</v>
      </c>
      <c r="G566" s="24">
        <f>TEXT(B566,"mmm")</f>
        <v/>
      </c>
      <c r="H566" s="24">
        <f>HLOOKUP(C566,Lookups!$H$4:$K$5,2,FALSE)</f>
        <v/>
      </c>
      <c r="I566" s="24">
        <f>VLOOKUP(D566,Lookups!$A$5:$E$10,2,FALSE)</f>
        <v/>
      </c>
      <c r="J566" s="24">
        <f>VLOOKUP(D566,Lookups!$A$5:$E$10,3,FALSE)</f>
        <v/>
      </c>
      <c r="K566" s="25">
        <f>VLOOKUP(D566,Lookups!$A$5:$E$10,4,FALSE)</f>
        <v/>
      </c>
      <c r="L566" s="25">
        <f>E566*K566*(1-F566)</f>
        <v/>
      </c>
      <c r="M566" s="25">
        <f>L566*VLOOKUP(D566,Lookups!$A$5:$E$10,5,FALSE)</f>
        <v/>
      </c>
    </row>
    <row r="567">
      <c r="A567" s="21" t="inlineStr">
        <is>
          <t>INV-10304</t>
        </is>
      </c>
      <c r="B567" s="22" t="n">
        <v>45836</v>
      </c>
      <c r="C567" s="21" t="inlineStr">
        <is>
          <t>R02</t>
        </is>
      </c>
      <c r="D567" s="21" t="inlineStr">
        <is>
          <t>P300</t>
        </is>
      </c>
      <c r="E567" s="21" t="n">
        <v>8</v>
      </c>
      <c r="F567" s="23" t="n">
        <v>0</v>
      </c>
      <c r="G567" s="24">
        <f>TEXT(B567,"mmm")</f>
        <v/>
      </c>
      <c r="H567" s="24">
        <f>HLOOKUP(C567,Lookups!$H$4:$K$5,2,FALSE)</f>
        <v/>
      </c>
      <c r="I567" s="24">
        <f>VLOOKUP(D567,Lookups!$A$5:$E$10,2,FALSE)</f>
        <v/>
      </c>
      <c r="J567" s="24">
        <f>VLOOKUP(D567,Lookups!$A$5:$E$10,3,FALSE)</f>
        <v/>
      </c>
      <c r="K567" s="25">
        <f>VLOOKUP(D567,Lookups!$A$5:$E$10,4,FALSE)</f>
        <v/>
      </c>
      <c r="L567" s="25">
        <f>E567*K567*(1-F567)</f>
        <v/>
      </c>
      <c r="M567" s="25">
        <f>L567*VLOOKUP(D567,Lookups!$A$5:$E$10,5,FALSE)</f>
        <v/>
      </c>
    </row>
    <row r="568">
      <c r="A568" s="21" t="inlineStr">
        <is>
          <t>INV-10443</t>
        </is>
      </c>
      <c r="B568" s="22" t="n">
        <v>45836</v>
      </c>
      <c r="C568" s="21" t="inlineStr">
        <is>
          <t>R03</t>
        </is>
      </c>
      <c r="D568" s="21" t="inlineStr">
        <is>
          <t>P500</t>
        </is>
      </c>
      <c r="E568" s="21" t="n">
        <v>10</v>
      </c>
      <c r="F568" s="23" t="n">
        <v>0</v>
      </c>
      <c r="G568" s="24">
        <f>TEXT(B568,"mmm")</f>
        <v/>
      </c>
      <c r="H568" s="24">
        <f>HLOOKUP(C568,Lookups!$H$4:$K$5,2,FALSE)</f>
        <v/>
      </c>
      <c r="I568" s="24">
        <f>VLOOKUP(D568,Lookups!$A$5:$E$10,2,FALSE)</f>
        <v/>
      </c>
      <c r="J568" s="24">
        <f>VLOOKUP(D568,Lookups!$A$5:$E$10,3,FALSE)</f>
        <v/>
      </c>
      <c r="K568" s="25">
        <f>VLOOKUP(D568,Lookups!$A$5:$E$10,4,FALSE)</f>
        <v/>
      </c>
      <c r="L568" s="25">
        <f>E568*K568*(1-F568)</f>
        <v/>
      </c>
      <c r="M568" s="25">
        <f>L568*VLOOKUP(D568,Lookups!$A$5:$E$10,5,FALSE)</f>
        <v/>
      </c>
    </row>
    <row r="569">
      <c r="A569" s="21" t="inlineStr">
        <is>
          <t>INV-10586</t>
        </is>
      </c>
      <c r="B569" s="22" t="n">
        <v>45836</v>
      </c>
      <c r="C569" s="21" t="inlineStr">
        <is>
          <t>R01</t>
        </is>
      </c>
      <c r="D569" s="21" t="inlineStr">
        <is>
          <t>P400</t>
        </is>
      </c>
      <c r="E569" s="21" t="n">
        <v>15</v>
      </c>
      <c r="F569" s="23" t="n">
        <v>0.1</v>
      </c>
      <c r="G569" s="24">
        <f>TEXT(B569,"mmm")</f>
        <v/>
      </c>
      <c r="H569" s="24">
        <f>HLOOKUP(C569,Lookups!$H$4:$K$5,2,FALSE)</f>
        <v/>
      </c>
      <c r="I569" s="24">
        <f>VLOOKUP(D569,Lookups!$A$5:$E$10,2,FALSE)</f>
        <v/>
      </c>
      <c r="J569" s="24">
        <f>VLOOKUP(D569,Lookups!$A$5:$E$10,3,FALSE)</f>
        <v/>
      </c>
      <c r="K569" s="25">
        <f>VLOOKUP(D569,Lookups!$A$5:$E$10,4,FALSE)</f>
        <v/>
      </c>
      <c r="L569" s="25">
        <f>E569*K569*(1-F569)</f>
        <v/>
      </c>
      <c r="M569" s="25">
        <f>L569*VLOOKUP(D569,Lookups!$A$5:$E$10,5,FALSE)</f>
        <v/>
      </c>
    </row>
    <row r="570">
      <c r="A570" s="21" t="inlineStr">
        <is>
          <t>INV-10598</t>
        </is>
      </c>
      <c r="B570" s="22" t="n">
        <v>45836</v>
      </c>
      <c r="C570" s="21" t="inlineStr">
        <is>
          <t>R04</t>
        </is>
      </c>
      <c r="D570" s="21" t="inlineStr">
        <is>
          <t>P300</t>
        </is>
      </c>
      <c r="E570" s="21" t="n">
        <v>20</v>
      </c>
      <c r="F570" s="23" t="n">
        <v>0</v>
      </c>
      <c r="G570" s="24">
        <f>TEXT(B570,"mmm")</f>
        <v/>
      </c>
      <c r="H570" s="24">
        <f>HLOOKUP(C570,Lookups!$H$4:$K$5,2,FALSE)</f>
        <v/>
      </c>
      <c r="I570" s="24">
        <f>VLOOKUP(D570,Lookups!$A$5:$E$10,2,FALSE)</f>
        <v/>
      </c>
      <c r="J570" s="24">
        <f>VLOOKUP(D570,Lookups!$A$5:$E$10,3,FALSE)</f>
        <v/>
      </c>
      <c r="K570" s="25">
        <f>VLOOKUP(D570,Lookups!$A$5:$E$10,4,FALSE)</f>
        <v/>
      </c>
      <c r="L570" s="25">
        <f>E570*K570*(1-F570)</f>
        <v/>
      </c>
      <c r="M570" s="25">
        <f>L570*VLOOKUP(D570,Lookups!$A$5:$E$10,5,FALSE)</f>
        <v/>
      </c>
    </row>
    <row r="571">
      <c r="A571" s="21" t="inlineStr">
        <is>
          <t>INV-10803</t>
        </is>
      </c>
      <c r="B571" s="22" t="n">
        <v>45836</v>
      </c>
      <c r="C571" s="21" t="inlineStr">
        <is>
          <t>R03</t>
        </is>
      </c>
      <c r="D571" s="21" t="inlineStr">
        <is>
          <t>P400</t>
        </is>
      </c>
      <c r="E571" s="21" t="n">
        <v>7</v>
      </c>
      <c r="F571" s="23" t="n">
        <v>0.1</v>
      </c>
      <c r="G571" s="24">
        <f>TEXT(B571,"mmm")</f>
        <v/>
      </c>
      <c r="H571" s="24">
        <f>HLOOKUP(C571,Lookups!$H$4:$K$5,2,FALSE)</f>
        <v/>
      </c>
      <c r="I571" s="24">
        <f>VLOOKUP(D571,Lookups!$A$5:$E$10,2,FALSE)</f>
        <v/>
      </c>
      <c r="J571" s="24">
        <f>VLOOKUP(D571,Lookups!$A$5:$E$10,3,FALSE)</f>
        <v/>
      </c>
      <c r="K571" s="25">
        <f>VLOOKUP(D571,Lookups!$A$5:$E$10,4,FALSE)</f>
        <v/>
      </c>
      <c r="L571" s="25">
        <f>E571*K571*(1-F571)</f>
        <v/>
      </c>
      <c r="M571" s="25">
        <f>L571*VLOOKUP(D571,Lookups!$A$5:$E$10,5,FALSE)</f>
        <v/>
      </c>
    </row>
    <row r="572">
      <c r="A572" s="21" t="inlineStr">
        <is>
          <t>INV-10088</t>
        </is>
      </c>
      <c r="B572" s="22" t="n">
        <v>45837</v>
      </c>
      <c r="C572" s="21" t="inlineStr">
        <is>
          <t>R04</t>
        </is>
      </c>
      <c r="D572" s="21" t="inlineStr">
        <is>
          <t>P600</t>
        </is>
      </c>
      <c r="E572" s="21" t="n">
        <v>22</v>
      </c>
      <c r="F572" s="23" t="n">
        <v>0.05</v>
      </c>
      <c r="G572" s="24">
        <f>TEXT(B572,"mmm")</f>
        <v/>
      </c>
      <c r="H572" s="24">
        <f>HLOOKUP(C572,Lookups!$H$4:$K$5,2,FALSE)</f>
        <v/>
      </c>
      <c r="I572" s="24">
        <f>VLOOKUP(D572,Lookups!$A$5:$E$10,2,FALSE)</f>
        <v/>
      </c>
      <c r="J572" s="24">
        <f>VLOOKUP(D572,Lookups!$A$5:$E$10,3,FALSE)</f>
        <v/>
      </c>
      <c r="K572" s="25">
        <f>VLOOKUP(D572,Lookups!$A$5:$E$10,4,FALSE)</f>
        <v/>
      </c>
      <c r="L572" s="25">
        <f>E572*K572*(1-F572)</f>
        <v/>
      </c>
      <c r="M572" s="25">
        <f>L572*VLOOKUP(D572,Lookups!$A$5:$E$10,5,FALSE)</f>
        <v/>
      </c>
    </row>
    <row r="573">
      <c r="A573" s="21" t="inlineStr">
        <is>
          <t>INV-10372</t>
        </is>
      </c>
      <c r="B573" s="22" t="n">
        <v>45837</v>
      </c>
      <c r="C573" s="21" t="inlineStr">
        <is>
          <t>R01</t>
        </is>
      </c>
      <c r="D573" s="21" t="inlineStr">
        <is>
          <t>P400</t>
        </is>
      </c>
      <c r="E573" s="21" t="n">
        <v>24</v>
      </c>
      <c r="F573" s="23" t="n">
        <v>0.05</v>
      </c>
      <c r="G573" s="24">
        <f>TEXT(B573,"mmm")</f>
        <v/>
      </c>
      <c r="H573" s="24">
        <f>HLOOKUP(C573,Lookups!$H$4:$K$5,2,FALSE)</f>
        <v/>
      </c>
      <c r="I573" s="24">
        <f>VLOOKUP(D573,Lookups!$A$5:$E$10,2,FALSE)</f>
        <v/>
      </c>
      <c r="J573" s="24">
        <f>VLOOKUP(D573,Lookups!$A$5:$E$10,3,FALSE)</f>
        <v/>
      </c>
      <c r="K573" s="25">
        <f>VLOOKUP(D573,Lookups!$A$5:$E$10,4,FALSE)</f>
        <v/>
      </c>
      <c r="L573" s="25">
        <f>E573*K573*(1-F573)</f>
        <v/>
      </c>
      <c r="M573" s="25">
        <f>L573*VLOOKUP(D573,Lookups!$A$5:$E$10,5,FALSE)</f>
        <v/>
      </c>
    </row>
    <row r="574">
      <c r="A574" s="21" t="inlineStr">
        <is>
          <t>INV-10310</t>
        </is>
      </c>
      <c r="B574" s="22" t="n">
        <v>45838</v>
      </c>
      <c r="C574" s="21" t="inlineStr">
        <is>
          <t>R01</t>
        </is>
      </c>
      <c r="D574" s="21" t="inlineStr">
        <is>
          <t>P500</t>
        </is>
      </c>
      <c r="E574" s="21" t="n">
        <v>10</v>
      </c>
      <c r="F574" s="23" t="n">
        <v>0.1</v>
      </c>
      <c r="G574" s="24">
        <f>TEXT(B574,"mmm")</f>
        <v/>
      </c>
      <c r="H574" s="24">
        <f>HLOOKUP(C574,Lookups!$H$4:$K$5,2,FALSE)</f>
        <v/>
      </c>
      <c r="I574" s="24">
        <f>VLOOKUP(D574,Lookups!$A$5:$E$10,2,FALSE)</f>
        <v/>
      </c>
      <c r="J574" s="24">
        <f>VLOOKUP(D574,Lookups!$A$5:$E$10,3,FALSE)</f>
        <v/>
      </c>
      <c r="K574" s="25">
        <f>VLOOKUP(D574,Lookups!$A$5:$E$10,4,FALSE)</f>
        <v/>
      </c>
      <c r="L574" s="25">
        <f>E574*K574*(1-F574)</f>
        <v/>
      </c>
      <c r="M574" s="25">
        <f>L574*VLOOKUP(D574,Lookups!$A$5:$E$10,5,FALSE)</f>
        <v/>
      </c>
    </row>
    <row r="575">
      <c r="A575" s="21" t="inlineStr">
        <is>
          <t>INV-10521</t>
        </is>
      </c>
      <c r="B575" s="22" t="n">
        <v>45838</v>
      </c>
      <c r="C575" s="21" t="inlineStr">
        <is>
          <t>R02</t>
        </is>
      </c>
      <c r="D575" s="21" t="inlineStr">
        <is>
          <t>P200</t>
        </is>
      </c>
      <c r="E575" s="21" t="n">
        <v>24</v>
      </c>
      <c r="F575" s="23" t="n">
        <v>0.1</v>
      </c>
      <c r="G575" s="24">
        <f>TEXT(B575,"mmm")</f>
        <v/>
      </c>
      <c r="H575" s="24">
        <f>HLOOKUP(C575,Lookups!$H$4:$K$5,2,FALSE)</f>
        <v/>
      </c>
      <c r="I575" s="24">
        <f>VLOOKUP(D575,Lookups!$A$5:$E$10,2,FALSE)</f>
        <v/>
      </c>
      <c r="J575" s="24">
        <f>VLOOKUP(D575,Lookups!$A$5:$E$10,3,FALSE)</f>
        <v/>
      </c>
      <c r="K575" s="25">
        <f>VLOOKUP(D575,Lookups!$A$5:$E$10,4,FALSE)</f>
        <v/>
      </c>
      <c r="L575" s="25">
        <f>E575*K575*(1-F575)</f>
        <v/>
      </c>
      <c r="M575" s="25">
        <f>L575*VLOOKUP(D575,Lookups!$A$5:$E$10,5,FALSE)</f>
        <v/>
      </c>
    </row>
    <row r="576">
      <c r="A576" s="21" t="inlineStr">
        <is>
          <t>INV-11016</t>
        </is>
      </c>
      <c r="B576" s="22" t="n">
        <v>45838</v>
      </c>
      <c r="C576" s="21" t="inlineStr">
        <is>
          <t>R04</t>
        </is>
      </c>
      <c r="D576" s="21" t="inlineStr">
        <is>
          <t>P600</t>
        </is>
      </c>
      <c r="E576" s="21" t="n">
        <v>13</v>
      </c>
      <c r="F576" s="23" t="n">
        <v>0</v>
      </c>
      <c r="G576" s="24">
        <f>TEXT(B576,"mmm")</f>
        <v/>
      </c>
      <c r="H576" s="24">
        <f>HLOOKUP(C576,Lookups!$H$4:$K$5,2,FALSE)</f>
        <v/>
      </c>
      <c r="I576" s="24">
        <f>VLOOKUP(D576,Lookups!$A$5:$E$10,2,FALSE)</f>
        <v/>
      </c>
      <c r="J576" s="24">
        <f>VLOOKUP(D576,Lookups!$A$5:$E$10,3,FALSE)</f>
        <v/>
      </c>
      <c r="K576" s="25">
        <f>VLOOKUP(D576,Lookups!$A$5:$E$10,4,FALSE)</f>
        <v/>
      </c>
      <c r="L576" s="25">
        <f>E576*K576*(1-F576)</f>
        <v/>
      </c>
      <c r="M576" s="25">
        <f>L576*VLOOKUP(D576,Lookups!$A$5:$E$10,5,FALSE)</f>
        <v/>
      </c>
    </row>
    <row r="577">
      <c r="A577" s="21" t="inlineStr">
        <is>
          <t>INV-10015</t>
        </is>
      </c>
      <c r="B577" s="22" t="n">
        <v>45839</v>
      </c>
      <c r="C577" s="21" t="inlineStr">
        <is>
          <t>R03</t>
        </is>
      </c>
      <c r="D577" s="21" t="inlineStr">
        <is>
          <t>P200</t>
        </is>
      </c>
      <c r="E577" s="21" t="n">
        <v>23</v>
      </c>
      <c r="F577" s="23" t="n">
        <v>0</v>
      </c>
      <c r="G577" s="24">
        <f>TEXT(B577,"mmm")</f>
        <v/>
      </c>
      <c r="H577" s="24">
        <f>HLOOKUP(C577,Lookups!$H$4:$K$5,2,FALSE)</f>
        <v/>
      </c>
      <c r="I577" s="24">
        <f>VLOOKUP(D577,Lookups!$A$5:$E$10,2,FALSE)</f>
        <v/>
      </c>
      <c r="J577" s="24">
        <f>VLOOKUP(D577,Lookups!$A$5:$E$10,3,FALSE)</f>
        <v/>
      </c>
      <c r="K577" s="25">
        <f>VLOOKUP(D577,Lookups!$A$5:$E$10,4,FALSE)</f>
        <v/>
      </c>
      <c r="L577" s="25">
        <f>E577*K577*(1-F577)</f>
        <v/>
      </c>
      <c r="M577" s="25">
        <f>L577*VLOOKUP(D577,Lookups!$A$5:$E$10,5,FALSE)</f>
        <v/>
      </c>
    </row>
    <row r="578">
      <c r="A578" s="21" t="inlineStr">
        <is>
          <t>INV-10047</t>
        </is>
      </c>
      <c r="B578" s="22" t="n">
        <v>45839</v>
      </c>
      <c r="C578" s="21" t="inlineStr">
        <is>
          <t>R04</t>
        </is>
      </c>
      <c r="D578" s="21" t="inlineStr">
        <is>
          <t>P400</t>
        </is>
      </c>
      <c r="E578" s="21" t="n">
        <v>15</v>
      </c>
      <c r="F578" s="23" t="n">
        <v>0</v>
      </c>
      <c r="G578" s="24">
        <f>TEXT(B578,"mmm")</f>
        <v/>
      </c>
      <c r="H578" s="24">
        <f>HLOOKUP(C578,Lookups!$H$4:$K$5,2,FALSE)</f>
        <v/>
      </c>
      <c r="I578" s="24">
        <f>VLOOKUP(D578,Lookups!$A$5:$E$10,2,FALSE)</f>
        <v/>
      </c>
      <c r="J578" s="24">
        <f>VLOOKUP(D578,Lookups!$A$5:$E$10,3,FALSE)</f>
        <v/>
      </c>
      <c r="K578" s="25">
        <f>VLOOKUP(D578,Lookups!$A$5:$E$10,4,FALSE)</f>
        <v/>
      </c>
      <c r="L578" s="25">
        <f>E578*K578*(1-F578)</f>
        <v/>
      </c>
      <c r="M578" s="25">
        <f>L578*VLOOKUP(D578,Lookups!$A$5:$E$10,5,FALSE)</f>
        <v/>
      </c>
    </row>
    <row r="579">
      <c r="A579" s="21" t="inlineStr">
        <is>
          <t>INV-10081</t>
        </is>
      </c>
      <c r="B579" s="22" t="n">
        <v>45839</v>
      </c>
      <c r="C579" s="21" t="inlineStr">
        <is>
          <t>R04</t>
        </is>
      </c>
      <c r="D579" s="21" t="inlineStr">
        <is>
          <t>P500</t>
        </is>
      </c>
      <c r="E579" s="21" t="n">
        <v>20</v>
      </c>
      <c r="F579" s="23" t="n">
        <v>0</v>
      </c>
      <c r="G579" s="24">
        <f>TEXT(B579,"mmm")</f>
        <v/>
      </c>
      <c r="H579" s="24">
        <f>HLOOKUP(C579,Lookups!$H$4:$K$5,2,FALSE)</f>
        <v/>
      </c>
      <c r="I579" s="24">
        <f>VLOOKUP(D579,Lookups!$A$5:$E$10,2,FALSE)</f>
        <v/>
      </c>
      <c r="J579" s="24">
        <f>VLOOKUP(D579,Lookups!$A$5:$E$10,3,FALSE)</f>
        <v/>
      </c>
      <c r="K579" s="25">
        <f>VLOOKUP(D579,Lookups!$A$5:$E$10,4,FALSE)</f>
        <v/>
      </c>
      <c r="L579" s="25">
        <f>E579*K579*(1-F579)</f>
        <v/>
      </c>
      <c r="M579" s="25">
        <f>L579*VLOOKUP(D579,Lookups!$A$5:$E$10,5,FALSE)</f>
        <v/>
      </c>
    </row>
    <row r="580">
      <c r="A580" s="21" t="inlineStr">
        <is>
          <t>INV-10147</t>
        </is>
      </c>
      <c r="B580" s="22" t="n">
        <v>45839</v>
      </c>
      <c r="C580" s="21" t="inlineStr">
        <is>
          <t>R03</t>
        </is>
      </c>
      <c r="D580" s="21" t="inlineStr">
        <is>
          <t>P300</t>
        </is>
      </c>
      <c r="E580" s="21" t="n">
        <v>9</v>
      </c>
      <c r="F580" s="23" t="n">
        <v>0.05</v>
      </c>
      <c r="G580" s="24">
        <f>TEXT(B580,"mmm")</f>
        <v/>
      </c>
      <c r="H580" s="24">
        <f>HLOOKUP(C580,Lookups!$H$4:$K$5,2,FALSE)</f>
        <v/>
      </c>
      <c r="I580" s="24">
        <f>VLOOKUP(D580,Lookups!$A$5:$E$10,2,FALSE)</f>
        <v/>
      </c>
      <c r="J580" s="24">
        <f>VLOOKUP(D580,Lookups!$A$5:$E$10,3,FALSE)</f>
        <v/>
      </c>
      <c r="K580" s="25">
        <f>VLOOKUP(D580,Lookups!$A$5:$E$10,4,FALSE)</f>
        <v/>
      </c>
      <c r="L580" s="25">
        <f>E580*K580*(1-F580)</f>
        <v/>
      </c>
      <c r="M580" s="25">
        <f>L580*VLOOKUP(D580,Lookups!$A$5:$E$10,5,FALSE)</f>
        <v/>
      </c>
    </row>
    <row r="581">
      <c r="A581" s="21" t="inlineStr">
        <is>
          <t>INV-11186</t>
        </is>
      </c>
      <c r="B581" s="22" t="n">
        <v>45839</v>
      </c>
      <c r="C581" s="21" t="inlineStr">
        <is>
          <t>R03</t>
        </is>
      </c>
      <c r="D581" s="21" t="inlineStr">
        <is>
          <t>P600</t>
        </is>
      </c>
      <c r="E581" s="21" t="n">
        <v>8</v>
      </c>
      <c r="F581" s="23" t="n">
        <v>0.05</v>
      </c>
      <c r="G581" s="24">
        <f>TEXT(B581,"mmm")</f>
        <v/>
      </c>
      <c r="H581" s="24">
        <f>HLOOKUP(C581,Lookups!$H$4:$K$5,2,FALSE)</f>
        <v/>
      </c>
      <c r="I581" s="24">
        <f>VLOOKUP(D581,Lookups!$A$5:$E$10,2,FALSE)</f>
        <v/>
      </c>
      <c r="J581" s="24">
        <f>VLOOKUP(D581,Lookups!$A$5:$E$10,3,FALSE)</f>
        <v/>
      </c>
      <c r="K581" s="25">
        <f>VLOOKUP(D581,Lookups!$A$5:$E$10,4,FALSE)</f>
        <v/>
      </c>
      <c r="L581" s="25">
        <f>E581*K581*(1-F581)</f>
        <v/>
      </c>
      <c r="M581" s="25">
        <f>L581*VLOOKUP(D581,Lookups!$A$5:$E$10,5,FALSE)</f>
        <v/>
      </c>
    </row>
    <row r="582">
      <c r="A582" s="21" t="inlineStr">
        <is>
          <t>INV-10702</t>
        </is>
      </c>
      <c r="B582" s="22" t="n">
        <v>45840</v>
      </c>
      <c r="C582" s="21" t="inlineStr">
        <is>
          <t>R01</t>
        </is>
      </c>
      <c r="D582" s="21" t="inlineStr">
        <is>
          <t>P400</t>
        </is>
      </c>
      <c r="E582" s="21" t="n">
        <v>22</v>
      </c>
      <c r="F582" s="23" t="n">
        <v>0.05</v>
      </c>
      <c r="G582" s="24">
        <f>TEXT(B582,"mmm")</f>
        <v/>
      </c>
      <c r="H582" s="24">
        <f>HLOOKUP(C582,Lookups!$H$4:$K$5,2,FALSE)</f>
        <v/>
      </c>
      <c r="I582" s="24">
        <f>VLOOKUP(D582,Lookups!$A$5:$E$10,2,FALSE)</f>
        <v/>
      </c>
      <c r="J582" s="24">
        <f>VLOOKUP(D582,Lookups!$A$5:$E$10,3,FALSE)</f>
        <v/>
      </c>
      <c r="K582" s="25">
        <f>VLOOKUP(D582,Lookups!$A$5:$E$10,4,FALSE)</f>
        <v/>
      </c>
      <c r="L582" s="25">
        <f>E582*K582*(1-F582)</f>
        <v/>
      </c>
      <c r="M582" s="25">
        <f>L582*VLOOKUP(D582,Lookups!$A$5:$E$10,5,FALSE)</f>
        <v/>
      </c>
    </row>
    <row r="583">
      <c r="A583" s="21" t="inlineStr">
        <is>
          <t>INV-10903</t>
        </is>
      </c>
      <c r="B583" s="22" t="n">
        <v>45841</v>
      </c>
      <c r="C583" s="21" t="inlineStr">
        <is>
          <t>R01</t>
        </is>
      </c>
      <c r="D583" s="21" t="inlineStr">
        <is>
          <t>P400</t>
        </is>
      </c>
      <c r="E583" s="21" t="n">
        <v>20</v>
      </c>
      <c r="F583" s="23" t="n">
        <v>0</v>
      </c>
      <c r="G583" s="24">
        <f>TEXT(B583,"mmm")</f>
        <v/>
      </c>
      <c r="H583" s="24">
        <f>HLOOKUP(C583,Lookups!$H$4:$K$5,2,FALSE)</f>
        <v/>
      </c>
      <c r="I583" s="24">
        <f>VLOOKUP(D583,Lookups!$A$5:$E$10,2,FALSE)</f>
        <v/>
      </c>
      <c r="J583" s="24">
        <f>VLOOKUP(D583,Lookups!$A$5:$E$10,3,FALSE)</f>
        <v/>
      </c>
      <c r="K583" s="25">
        <f>VLOOKUP(D583,Lookups!$A$5:$E$10,4,FALSE)</f>
        <v/>
      </c>
      <c r="L583" s="25">
        <f>E583*K583*(1-F583)</f>
        <v/>
      </c>
      <c r="M583" s="25">
        <f>L583*VLOOKUP(D583,Lookups!$A$5:$E$10,5,FALSE)</f>
        <v/>
      </c>
    </row>
    <row r="584">
      <c r="A584" s="21" t="inlineStr">
        <is>
          <t>INV-10966</t>
        </is>
      </c>
      <c r="B584" s="22" t="n">
        <v>45841</v>
      </c>
      <c r="C584" s="21" t="inlineStr">
        <is>
          <t>R02</t>
        </is>
      </c>
      <c r="D584" s="21" t="inlineStr">
        <is>
          <t>P100</t>
        </is>
      </c>
      <c r="E584" s="21" t="n">
        <v>25</v>
      </c>
      <c r="F584" s="23" t="n">
        <v>0.1</v>
      </c>
      <c r="G584" s="24">
        <f>TEXT(B584,"mmm")</f>
        <v/>
      </c>
      <c r="H584" s="24">
        <f>HLOOKUP(C584,Lookups!$H$4:$K$5,2,FALSE)</f>
        <v/>
      </c>
      <c r="I584" s="24">
        <f>VLOOKUP(D584,Lookups!$A$5:$E$10,2,FALSE)</f>
        <v/>
      </c>
      <c r="J584" s="24">
        <f>VLOOKUP(D584,Lookups!$A$5:$E$10,3,FALSE)</f>
        <v/>
      </c>
      <c r="K584" s="25">
        <f>VLOOKUP(D584,Lookups!$A$5:$E$10,4,FALSE)</f>
        <v/>
      </c>
      <c r="L584" s="25">
        <f>E584*K584*(1-F584)</f>
        <v/>
      </c>
      <c r="M584" s="25">
        <f>L584*VLOOKUP(D584,Lookups!$A$5:$E$10,5,FALSE)</f>
        <v/>
      </c>
    </row>
    <row r="585">
      <c r="A585" s="21" t="inlineStr">
        <is>
          <t>INV-10514</t>
        </is>
      </c>
      <c r="B585" s="22" t="n">
        <v>45842</v>
      </c>
      <c r="C585" s="21" t="inlineStr">
        <is>
          <t>R04</t>
        </is>
      </c>
      <c r="D585" s="21" t="inlineStr">
        <is>
          <t>P500</t>
        </is>
      </c>
      <c r="E585" s="21" t="n">
        <v>15</v>
      </c>
      <c r="F585" s="23" t="n">
        <v>0</v>
      </c>
      <c r="G585" s="24">
        <f>TEXT(B585,"mmm")</f>
        <v/>
      </c>
      <c r="H585" s="24">
        <f>HLOOKUP(C585,Lookups!$H$4:$K$5,2,FALSE)</f>
        <v/>
      </c>
      <c r="I585" s="24">
        <f>VLOOKUP(D585,Lookups!$A$5:$E$10,2,FALSE)</f>
        <v/>
      </c>
      <c r="J585" s="24">
        <f>VLOOKUP(D585,Lookups!$A$5:$E$10,3,FALSE)</f>
        <v/>
      </c>
      <c r="K585" s="25">
        <f>VLOOKUP(D585,Lookups!$A$5:$E$10,4,FALSE)</f>
        <v/>
      </c>
      <c r="L585" s="25">
        <f>E585*K585*(1-F585)</f>
        <v/>
      </c>
      <c r="M585" s="25">
        <f>L585*VLOOKUP(D585,Lookups!$A$5:$E$10,5,FALSE)</f>
        <v/>
      </c>
    </row>
    <row r="586">
      <c r="A586" s="21" t="inlineStr">
        <is>
          <t>INV-10577</t>
        </is>
      </c>
      <c r="B586" s="22" t="n">
        <v>45842</v>
      </c>
      <c r="C586" s="21" t="inlineStr">
        <is>
          <t>R01</t>
        </is>
      </c>
      <c r="D586" s="21" t="inlineStr">
        <is>
          <t>P600</t>
        </is>
      </c>
      <c r="E586" s="21" t="n">
        <v>4</v>
      </c>
      <c r="F586" s="23" t="n">
        <v>0</v>
      </c>
      <c r="G586" s="24">
        <f>TEXT(B586,"mmm")</f>
        <v/>
      </c>
      <c r="H586" s="24">
        <f>HLOOKUP(C586,Lookups!$H$4:$K$5,2,FALSE)</f>
        <v/>
      </c>
      <c r="I586" s="24">
        <f>VLOOKUP(D586,Lookups!$A$5:$E$10,2,FALSE)</f>
        <v/>
      </c>
      <c r="J586" s="24">
        <f>VLOOKUP(D586,Lookups!$A$5:$E$10,3,FALSE)</f>
        <v/>
      </c>
      <c r="K586" s="25">
        <f>VLOOKUP(D586,Lookups!$A$5:$E$10,4,FALSE)</f>
        <v/>
      </c>
      <c r="L586" s="25">
        <f>E586*K586*(1-F586)</f>
        <v/>
      </c>
      <c r="M586" s="25">
        <f>L586*VLOOKUP(D586,Lookups!$A$5:$E$10,5,FALSE)</f>
        <v/>
      </c>
    </row>
    <row r="587">
      <c r="A587" s="21" t="inlineStr">
        <is>
          <t>INV-10757</t>
        </is>
      </c>
      <c r="B587" s="22" t="n">
        <v>45842</v>
      </c>
      <c r="C587" s="21" t="inlineStr">
        <is>
          <t>R04</t>
        </is>
      </c>
      <c r="D587" s="21" t="inlineStr">
        <is>
          <t>P100</t>
        </is>
      </c>
      <c r="E587" s="21" t="n">
        <v>3</v>
      </c>
      <c r="F587" s="23" t="n">
        <v>0.05</v>
      </c>
      <c r="G587" s="24">
        <f>TEXT(B587,"mmm")</f>
        <v/>
      </c>
      <c r="H587" s="24">
        <f>HLOOKUP(C587,Lookups!$H$4:$K$5,2,FALSE)</f>
        <v/>
      </c>
      <c r="I587" s="24">
        <f>VLOOKUP(D587,Lookups!$A$5:$E$10,2,FALSE)</f>
        <v/>
      </c>
      <c r="J587" s="24">
        <f>VLOOKUP(D587,Lookups!$A$5:$E$10,3,FALSE)</f>
        <v/>
      </c>
      <c r="K587" s="25">
        <f>VLOOKUP(D587,Lookups!$A$5:$E$10,4,FALSE)</f>
        <v/>
      </c>
      <c r="L587" s="25">
        <f>E587*K587*(1-F587)</f>
        <v/>
      </c>
      <c r="M587" s="25">
        <f>L587*VLOOKUP(D587,Lookups!$A$5:$E$10,5,FALSE)</f>
        <v/>
      </c>
    </row>
    <row r="588">
      <c r="A588" s="21" t="inlineStr">
        <is>
          <t>INV-11129</t>
        </is>
      </c>
      <c r="B588" s="22" t="n">
        <v>45842</v>
      </c>
      <c r="C588" s="21" t="inlineStr">
        <is>
          <t>R04</t>
        </is>
      </c>
      <c r="D588" s="21" t="inlineStr">
        <is>
          <t>P500</t>
        </is>
      </c>
      <c r="E588" s="21" t="n">
        <v>12</v>
      </c>
      <c r="F588" s="23" t="n">
        <v>0</v>
      </c>
      <c r="G588" s="24">
        <f>TEXT(B588,"mmm")</f>
        <v/>
      </c>
      <c r="H588" s="24">
        <f>HLOOKUP(C588,Lookups!$H$4:$K$5,2,FALSE)</f>
        <v/>
      </c>
      <c r="I588" s="24">
        <f>VLOOKUP(D588,Lookups!$A$5:$E$10,2,FALSE)</f>
        <v/>
      </c>
      <c r="J588" s="24">
        <f>VLOOKUP(D588,Lookups!$A$5:$E$10,3,FALSE)</f>
        <v/>
      </c>
      <c r="K588" s="25">
        <f>VLOOKUP(D588,Lookups!$A$5:$E$10,4,FALSE)</f>
        <v/>
      </c>
      <c r="L588" s="25">
        <f>E588*K588*(1-F588)</f>
        <v/>
      </c>
      <c r="M588" s="25">
        <f>L588*VLOOKUP(D588,Lookups!$A$5:$E$10,5,FALSE)</f>
        <v/>
      </c>
    </row>
    <row r="589">
      <c r="A589" s="21" t="inlineStr">
        <is>
          <t>INV-10034</t>
        </is>
      </c>
      <c r="B589" s="22" t="n">
        <v>45843</v>
      </c>
      <c r="C589" s="21" t="inlineStr">
        <is>
          <t>R02</t>
        </is>
      </c>
      <c r="D589" s="21" t="inlineStr">
        <is>
          <t>P300</t>
        </is>
      </c>
      <c r="E589" s="21" t="n">
        <v>2</v>
      </c>
      <c r="F589" s="23" t="n">
        <v>0</v>
      </c>
      <c r="G589" s="24">
        <f>TEXT(B589,"mmm")</f>
        <v/>
      </c>
      <c r="H589" s="24">
        <f>HLOOKUP(C589,Lookups!$H$4:$K$5,2,FALSE)</f>
        <v/>
      </c>
      <c r="I589" s="24">
        <f>VLOOKUP(D589,Lookups!$A$5:$E$10,2,FALSE)</f>
        <v/>
      </c>
      <c r="J589" s="24">
        <f>VLOOKUP(D589,Lookups!$A$5:$E$10,3,FALSE)</f>
        <v/>
      </c>
      <c r="K589" s="25">
        <f>VLOOKUP(D589,Lookups!$A$5:$E$10,4,FALSE)</f>
        <v/>
      </c>
      <c r="L589" s="25">
        <f>E589*K589*(1-F589)</f>
        <v/>
      </c>
      <c r="M589" s="25">
        <f>L589*VLOOKUP(D589,Lookups!$A$5:$E$10,5,FALSE)</f>
        <v/>
      </c>
    </row>
    <row r="590">
      <c r="A590" s="21" t="inlineStr">
        <is>
          <t>INV-10141</t>
        </is>
      </c>
      <c r="B590" s="22" t="n">
        <v>45843</v>
      </c>
      <c r="C590" s="21" t="inlineStr">
        <is>
          <t>R04</t>
        </is>
      </c>
      <c r="D590" s="21" t="inlineStr">
        <is>
          <t>P600</t>
        </is>
      </c>
      <c r="E590" s="21" t="n">
        <v>23</v>
      </c>
      <c r="F590" s="23" t="n">
        <v>0</v>
      </c>
      <c r="G590" s="24">
        <f>TEXT(B590,"mmm")</f>
        <v/>
      </c>
      <c r="H590" s="24">
        <f>HLOOKUP(C590,Lookups!$H$4:$K$5,2,FALSE)</f>
        <v/>
      </c>
      <c r="I590" s="24">
        <f>VLOOKUP(D590,Lookups!$A$5:$E$10,2,FALSE)</f>
        <v/>
      </c>
      <c r="J590" s="24">
        <f>VLOOKUP(D590,Lookups!$A$5:$E$10,3,FALSE)</f>
        <v/>
      </c>
      <c r="K590" s="25">
        <f>VLOOKUP(D590,Lookups!$A$5:$E$10,4,FALSE)</f>
        <v/>
      </c>
      <c r="L590" s="25">
        <f>E590*K590*(1-F590)</f>
        <v/>
      </c>
      <c r="M590" s="25">
        <f>L590*VLOOKUP(D590,Lookups!$A$5:$E$10,5,FALSE)</f>
        <v/>
      </c>
    </row>
    <row r="591">
      <c r="A591" s="21" t="inlineStr">
        <is>
          <t>INV-10093</t>
        </is>
      </c>
      <c r="B591" s="22" t="n">
        <v>45844</v>
      </c>
      <c r="C591" s="21" t="inlineStr">
        <is>
          <t>R01</t>
        </is>
      </c>
      <c r="D591" s="21" t="inlineStr">
        <is>
          <t>P400</t>
        </is>
      </c>
      <c r="E591" s="21" t="n">
        <v>22</v>
      </c>
      <c r="F591" s="23" t="n">
        <v>0.05</v>
      </c>
      <c r="G591" s="24">
        <f>TEXT(B591,"mmm")</f>
        <v/>
      </c>
      <c r="H591" s="24">
        <f>HLOOKUP(C591,Lookups!$H$4:$K$5,2,FALSE)</f>
        <v/>
      </c>
      <c r="I591" s="24">
        <f>VLOOKUP(D591,Lookups!$A$5:$E$10,2,FALSE)</f>
        <v/>
      </c>
      <c r="J591" s="24">
        <f>VLOOKUP(D591,Lookups!$A$5:$E$10,3,FALSE)</f>
        <v/>
      </c>
      <c r="K591" s="25">
        <f>VLOOKUP(D591,Lookups!$A$5:$E$10,4,FALSE)</f>
        <v/>
      </c>
      <c r="L591" s="25">
        <f>E591*K591*(1-F591)</f>
        <v/>
      </c>
      <c r="M591" s="25">
        <f>L591*VLOOKUP(D591,Lookups!$A$5:$E$10,5,FALSE)</f>
        <v/>
      </c>
    </row>
    <row r="592">
      <c r="A592" s="21" t="inlineStr">
        <is>
          <t>INV-10318</t>
        </is>
      </c>
      <c r="B592" s="22" t="n">
        <v>45844</v>
      </c>
      <c r="C592" s="21" t="inlineStr">
        <is>
          <t>R03</t>
        </is>
      </c>
      <c r="D592" s="21" t="inlineStr">
        <is>
          <t>P300</t>
        </is>
      </c>
      <c r="E592" s="21" t="n">
        <v>13</v>
      </c>
      <c r="F592" s="23" t="n">
        <v>0.1</v>
      </c>
      <c r="G592" s="24">
        <f>TEXT(B592,"mmm")</f>
        <v/>
      </c>
      <c r="H592" s="24">
        <f>HLOOKUP(C592,Lookups!$H$4:$K$5,2,FALSE)</f>
        <v/>
      </c>
      <c r="I592" s="24">
        <f>VLOOKUP(D592,Lookups!$A$5:$E$10,2,FALSE)</f>
        <v/>
      </c>
      <c r="J592" s="24">
        <f>VLOOKUP(D592,Lookups!$A$5:$E$10,3,FALSE)</f>
        <v/>
      </c>
      <c r="K592" s="25">
        <f>VLOOKUP(D592,Lookups!$A$5:$E$10,4,FALSE)</f>
        <v/>
      </c>
      <c r="L592" s="25">
        <f>E592*K592*(1-F592)</f>
        <v/>
      </c>
      <c r="M592" s="25">
        <f>L592*VLOOKUP(D592,Lookups!$A$5:$E$10,5,FALSE)</f>
        <v/>
      </c>
    </row>
    <row r="593">
      <c r="A593" s="21" t="inlineStr">
        <is>
          <t>INV-10676</t>
        </is>
      </c>
      <c r="B593" s="22" t="n">
        <v>45844</v>
      </c>
      <c r="C593" s="21" t="inlineStr">
        <is>
          <t>R02</t>
        </is>
      </c>
      <c r="D593" s="21" t="inlineStr">
        <is>
          <t>P400</t>
        </is>
      </c>
      <c r="E593" s="21" t="n">
        <v>6</v>
      </c>
      <c r="F593" s="23" t="n">
        <v>0</v>
      </c>
      <c r="G593" s="24">
        <f>TEXT(B593,"mmm")</f>
        <v/>
      </c>
      <c r="H593" s="24">
        <f>HLOOKUP(C593,Lookups!$H$4:$K$5,2,FALSE)</f>
        <v/>
      </c>
      <c r="I593" s="24">
        <f>VLOOKUP(D593,Lookups!$A$5:$E$10,2,FALSE)</f>
        <v/>
      </c>
      <c r="J593" s="24">
        <f>VLOOKUP(D593,Lookups!$A$5:$E$10,3,FALSE)</f>
        <v/>
      </c>
      <c r="K593" s="25">
        <f>VLOOKUP(D593,Lookups!$A$5:$E$10,4,FALSE)</f>
        <v/>
      </c>
      <c r="L593" s="25">
        <f>E593*K593*(1-F593)</f>
        <v/>
      </c>
      <c r="M593" s="25">
        <f>L593*VLOOKUP(D593,Lookups!$A$5:$E$10,5,FALSE)</f>
        <v/>
      </c>
    </row>
    <row r="594">
      <c r="A594" s="21" t="inlineStr">
        <is>
          <t>INV-10595</t>
        </is>
      </c>
      <c r="B594" s="22" t="n">
        <v>45845</v>
      </c>
      <c r="C594" s="21" t="inlineStr">
        <is>
          <t>R02</t>
        </is>
      </c>
      <c r="D594" s="21" t="inlineStr">
        <is>
          <t>P300</t>
        </is>
      </c>
      <c r="E594" s="21" t="n">
        <v>15</v>
      </c>
      <c r="F594" s="23" t="n">
        <v>0</v>
      </c>
      <c r="G594" s="24">
        <f>TEXT(B594,"mmm")</f>
        <v/>
      </c>
      <c r="H594" s="24">
        <f>HLOOKUP(C594,Lookups!$H$4:$K$5,2,FALSE)</f>
        <v/>
      </c>
      <c r="I594" s="24">
        <f>VLOOKUP(D594,Lookups!$A$5:$E$10,2,FALSE)</f>
        <v/>
      </c>
      <c r="J594" s="24">
        <f>VLOOKUP(D594,Lookups!$A$5:$E$10,3,FALSE)</f>
        <v/>
      </c>
      <c r="K594" s="25">
        <f>VLOOKUP(D594,Lookups!$A$5:$E$10,4,FALSE)</f>
        <v/>
      </c>
      <c r="L594" s="25">
        <f>E594*K594*(1-F594)</f>
        <v/>
      </c>
      <c r="M594" s="25">
        <f>L594*VLOOKUP(D594,Lookups!$A$5:$E$10,5,FALSE)</f>
        <v/>
      </c>
    </row>
    <row r="595">
      <c r="A595" s="21" t="inlineStr">
        <is>
          <t>INV-10961</t>
        </is>
      </c>
      <c r="B595" s="22" t="n">
        <v>45845</v>
      </c>
      <c r="C595" s="21" t="inlineStr">
        <is>
          <t>R02</t>
        </is>
      </c>
      <c r="D595" s="21" t="inlineStr">
        <is>
          <t>P400</t>
        </is>
      </c>
      <c r="E595" s="21" t="n">
        <v>25</v>
      </c>
      <c r="F595" s="23" t="n">
        <v>0.05</v>
      </c>
      <c r="G595" s="24">
        <f>TEXT(B595,"mmm")</f>
        <v/>
      </c>
      <c r="H595" s="24">
        <f>HLOOKUP(C595,Lookups!$H$4:$K$5,2,FALSE)</f>
        <v/>
      </c>
      <c r="I595" s="24">
        <f>VLOOKUP(D595,Lookups!$A$5:$E$10,2,FALSE)</f>
        <v/>
      </c>
      <c r="J595" s="24">
        <f>VLOOKUP(D595,Lookups!$A$5:$E$10,3,FALSE)</f>
        <v/>
      </c>
      <c r="K595" s="25">
        <f>VLOOKUP(D595,Lookups!$A$5:$E$10,4,FALSE)</f>
        <v/>
      </c>
      <c r="L595" s="25">
        <f>E595*K595*(1-F595)</f>
        <v/>
      </c>
      <c r="M595" s="25">
        <f>L595*VLOOKUP(D595,Lookups!$A$5:$E$10,5,FALSE)</f>
        <v/>
      </c>
    </row>
    <row r="596">
      <c r="A596" s="21" t="inlineStr">
        <is>
          <t>INV-10972</t>
        </is>
      </c>
      <c r="B596" s="22" t="n">
        <v>45845</v>
      </c>
      <c r="C596" s="21" t="inlineStr">
        <is>
          <t>R01</t>
        </is>
      </c>
      <c r="D596" s="21" t="inlineStr">
        <is>
          <t>P500</t>
        </is>
      </c>
      <c r="E596" s="21" t="n">
        <v>17</v>
      </c>
      <c r="F596" s="23" t="n">
        <v>0.05</v>
      </c>
      <c r="G596" s="24">
        <f>TEXT(B596,"mmm")</f>
        <v/>
      </c>
      <c r="H596" s="24">
        <f>HLOOKUP(C596,Lookups!$H$4:$K$5,2,FALSE)</f>
        <v/>
      </c>
      <c r="I596" s="24">
        <f>VLOOKUP(D596,Lookups!$A$5:$E$10,2,FALSE)</f>
        <v/>
      </c>
      <c r="J596" s="24">
        <f>VLOOKUP(D596,Lookups!$A$5:$E$10,3,FALSE)</f>
        <v/>
      </c>
      <c r="K596" s="25">
        <f>VLOOKUP(D596,Lookups!$A$5:$E$10,4,FALSE)</f>
        <v/>
      </c>
      <c r="L596" s="25">
        <f>E596*K596*(1-F596)</f>
        <v/>
      </c>
      <c r="M596" s="25">
        <f>L596*VLOOKUP(D596,Lookups!$A$5:$E$10,5,FALSE)</f>
        <v/>
      </c>
    </row>
    <row r="597">
      <c r="A597" s="21" t="inlineStr">
        <is>
          <t>INV-11045</t>
        </is>
      </c>
      <c r="B597" s="22" t="n">
        <v>45845</v>
      </c>
      <c r="C597" s="21" t="inlineStr">
        <is>
          <t>R04</t>
        </is>
      </c>
      <c r="D597" s="21" t="inlineStr">
        <is>
          <t>P200</t>
        </is>
      </c>
      <c r="E597" s="21" t="n">
        <v>14</v>
      </c>
      <c r="F597" s="23" t="n">
        <v>0</v>
      </c>
      <c r="G597" s="24">
        <f>TEXT(B597,"mmm")</f>
        <v/>
      </c>
      <c r="H597" s="24">
        <f>HLOOKUP(C597,Lookups!$H$4:$K$5,2,FALSE)</f>
        <v/>
      </c>
      <c r="I597" s="24">
        <f>VLOOKUP(D597,Lookups!$A$5:$E$10,2,FALSE)</f>
        <v/>
      </c>
      <c r="J597" s="24">
        <f>VLOOKUP(D597,Lookups!$A$5:$E$10,3,FALSE)</f>
        <v/>
      </c>
      <c r="K597" s="25">
        <f>VLOOKUP(D597,Lookups!$A$5:$E$10,4,FALSE)</f>
        <v/>
      </c>
      <c r="L597" s="25">
        <f>E597*K597*(1-F597)</f>
        <v/>
      </c>
      <c r="M597" s="25">
        <f>L597*VLOOKUP(D597,Lookups!$A$5:$E$10,5,FALSE)</f>
        <v/>
      </c>
    </row>
    <row r="598">
      <c r="A598" s="21" t="inlineStr">
        <is>
          <t>INV-11078</t>
        </is>
      </c>
      <c r="B598" s="22" t="n">
        <v>45845</v>
      </c>
      <c r="C598" s="21" t="inlineStr">
        <is>
          <t>R03</t>
        </is>
      </c>
      <c r="D598" s="21" t="inlineStr">
        <is>
          <t>P400</t>
        </is>
      </c>
      <c r="E598" s="21" t="n">
        <v>5</v>
      </c>
      <c r="F598" s="23" t="n">
        <v>0.05</v>
      </c>
      <c r="G598" s="24">
        <f>TEXT(B598,"mmm")</f>
        <v/>
      </c>
      <c r="H598" s="24">
        <f>HLOOKUP(C598,Lookups!$H$4:$K$5,2,FALSE)</f>
        <v/>
      </c>
      <c r="I598" s="24">
        <f>VLOOKUP(D598,Lookups!$A$5:$E$10,2,FALSE)</f>
        <v/>
      </c>
      <c r="J598" s="24">
        <f>VLOOKUP(D598,Lookups!$A$5:$E$10,3,FALSE)</f>
        <v/>
      </c>
      <c r="K598" s="25">
        <f>VLOOKUP(D598,Lookups!$A$5:$E$10,4,FALSE)</f>
        <v/>
      </c>
      <c r="L598" s="25">
        <f>E598*K598*(1-F598)</f>
        <v/>
      </c>
      <c r="M598" s="25">
        <f>L598*VLOOKUP(D598,Lookups!$A$5:$E$10,5,FALSE)</f>
        <v/>
      </c>
    </row>
    <row r="599">
      <c r="A599" s="21" t="inlineStr">
        <is>
          <t>INV-10134</t>
        </is>
      </c>
      <c r="B599" s="22" t="n">
        <v>45846</v>
      </c>
      <c r="C599" s="21" t="inlineStr">
        <is>
          <t>R01</t>
        </is>
      </c>
      <c r="D599" s="21" t="inlineStr">
        <is>
          <t>P200</t>
        </is>
      </c>
      <c r="E599" s="21" t="n">
        <v>25</v>
      </c>
      <c r="F599" s="23" t="n">
        <v>0</v>
      </c>
      <c r="G599" s="24">
        <f>TEXT(B599,"mmm")</f>
        <v/>
      </c>
      <c r="H599" s="24">
        <f>HLOOKUP(C599,Lookups!$H$4:$K$5,2,FALSE)</f>
        <v/>
      </c>
      <c r="I599" s="24">
        <f>VLOOKUP(D599,Lookups!$A$5:$E$10,2,FALSE)</f>
        <v/>
      </c>
      <c r="J599" s="24">
        <f>VLOOKUP(D599,Lookups!$A$5:$E$10,3,FALSE)</f>
        <v/>
      </c>
      <c r="K599" s="25">
        <f>VLOOKUP(D599,Lookups!$A$5:$E$10,4,FALSE)</f>
        <v/>
      </c>
      <c r="L599" s="25">
        <f>E599*K599*(1-F599)</f>
        <v/>
      </c>
      <c r="M599" s="25">
        <f>L599*VLOOKUP(D599,Lookups!$A$5:$E$10,5,FALSE)</f>
        <v/>
      </c>
    </row>
    <row r="600">
      <c r="A600" s="21" t="inlineStr">
        <is>
          <t>INV-10645</t>
        </is>
      </c>
      <c r="B600" s="22" t="n">
        <v>45846</v>
      </c>
      <c r="C600" s="21" t="inlineStr">
        <is>
          <t>R02</t>
        </is>
      </c>
      <c r="D600" s="21" t="inlineStr">
        <is>
          <t>P300</t>
        </is>
      </c>
      <c r="E600" s="21" t="n">
        <v>13</v>
      </c>
      <c r="F600" s="23" t="n">
        <v>0</v>
      </c>
      <c r="G600" s="24">
        <f>TEXT(B600,"mmm")</f>
        <v/>
      </c>
      <c r="H600" s="24">
        <f>HLOOKUP(C600,Lookups!$H$4:$K$5,2,FALSE)</f>
        <v/>
      </c>
      <c r="I600" s="24">
        <f>VLOOKUP(D600,Lookups!$A$5:$E$10,2,FALSE)</f>
        <v/>
      </c>
      <c r="J600" s="24">
        <f>VLOOKUP(D600,Lookups!$A$5:$E$10,3,FALSE)</f>
        <v/>
      </c>
      <c r="K600" s="25">
        <f>VLOOKUP(D600,Lookups!$A$5:$E$10,4,FALSE)</f>
        <v/>
      </c>
      <c r="L600" s="25">
        <f>E600*K600*(1-F600)</f>
        <v/>
      </c>
      <c r="M600" s="25">
        <f>L600*VLOOKUP(D600,Lookups!$A$5:$E$10,5,FALSE)</f>
        <v/>
      </c>
    </row>
    <row r="601">
      <c r="A601" s="21" t="inlineStr">
        <is>
          <t>INV-10078</t>
        </is>
      </c>
      <c r="B601" s="22" t="n">
        <v>45847</v>
      </c>
      <c r="C601" s="21" t="inlineStr">
        <is>
          <t>R02</t>
        </is>
      </c>
      <c r="D601" s="21" t="inlineStr">
        <is>
          <t>P500</t>
        </is>
      </c>
      <c r="E601" s="21" t="n">
        <v>14</v>
      </c>
      <c r="F601" s="23" t="n">
        <v>0</v>
      </c>
      <c r="G601" s="24">
        <f>TEXT(B601,"mmm")</f>
        <v/>
      </c>
      <c r="H601" s="24">
        <f>HLOOKUP(C601,Lookups!$H$4:$K$5,2,FALSE)</f>
        <v/>
      </c>
      <c r="I601" s="24">
        <f>VLOOKUP(D601,Lookups!$A$5:$E$10,2,FALSE)</f>
        <v/>
      </c>
      <c r="J601" s="24">
        <f>VLOOKUP(D601,Lookups!$A$5:$E$10,3,FALSE)</f>
        <v/>
      </c>
      <c r="K601" s="25">
        <f>VLOOKUP(D601,Lookups!$A$5:$E$10,4,FALSE)</f>
        <v/>
      </c>
      <c r="L601" s="25">
        <f>E601*K601*(1-F601)</f>
        <v/>
      </c>
      <c r="M601" s="25">
        <f>L601*VLOOKUP(D601,Lookups!$A$5:$E$10,5,FALSE)</f>
        <v/>
      </c>
    </row>
    <row r="602">
      <c r="A602" s="21" t="inlineStr">
        <is>
          <t>INV-10246</t>
        </is>
      </c>
      <c r="B602" s="22" t="n">
        <v>45847</v>
      </c>
      <c r="C602" s="21" t="inlineStr">
        <is>
          <t>R04</t>
        </is>
      </c>
      <c r="D602" s="21" t="inlineStr">
        <is>
          <t>P600</t>
        </is>
      </c>
      <c r="E602" s="21" t="n">
        <v>19</v>
      </c>
      <c r="F602" s="23" t="n">
        <v>0</v>
      </c>
      <c r="G602" s="24">
        <f>TEXT(B602,"mmm")</f>
        <v/>
      </c>
      <c r="H602" s="24">
        <f>HLOOKUP(C602,Lookups!$H$4:$K$5,2,FALSE)</f>
        <v/>
      </c>
      <c r="I602" s="24">
        <f>VLOOKUP(D602,Lookups!$A$5:$E$10,2,FALSE)</f>
        <v/>
      </c>
      <c r="J602" s="24">
        <f>VLOOKUP(D602,Lookups!$A$5:$E$10,3,FALSE)</f>
        <v/>
      </c>
      <c r="K602" s="25">
        <f>VLOOKUP(D602,Lookups!$A$5:$E$10,4,FALSE)</f>
        <v/>
      </c>
      <c r="L602" s="25">
        <f>E602*K602*(1-F602)</f>
        <v/>
      </c>
      <c r="M602" s="25">
        <f>L602*VLOOKUP(D602,Lookups!$A$5:$E$10,5,FALSE)</f>
        <v/>
      </c>
    </row>
    <row r="603">
      <c r="A603" s="21" t="inlineStr">
        <is>
          <t>INV-10285</t>
        </is>
      </c>
      <c r="B603" s="22" t="n">
        <v>45847</v>
      </c>
      <c r="C603" s="21" t="inlineStr">
        <is>
          <t>R03</t>
        </is>
      </c>
      <c r="D603" s="21" t="inlineStr">
        <is>
          <t>P300</t>
        </is>
      </c>
      <c r="E603" s="21" t="n">
        <v>25</v>
      </c>
      <c r="F603" s="23" t="n">
        <v>0</v>
      </c>
      <c r="G603" s="24">
        <f>TEXT(B603,"mmm")</f>
        <v/>
      </c>
      <c r="H603" s="24">
        <f>HLOOKUP(C603,Lookups!$H$4:$K$5,2,FALSE)</f>
        <v/>
      </c>
      <c r="I603" s="24">
        <f>VLOOKUP(D603,Lookups!$A$5:$E$10,2,FALSE)</f>
        <v/>
      </c>
      <c r="J603" s="24">
        <f>VLOOKUP(D603,Lookups!$A$5:$E$10,3,FALSE)</f>
        <v/>
      </c>
      <c r="K603" s="25">
        <f>VLOOKUP(D603,Lookups!$A$5:$E$10,4,FALSE)</f>
        <v/>
      </c>
      <c r="L603" s="25">
        <f>E603*K603*(1-F603)</f>
        <v/>
      </c>
      <c r="M603" s="25">
        <f>L603*VLOOKUP(D603,Lookups!$A$5:$E$10,5,FALSE)</f>
        <v/>
      </c>
    </row>
    <row r="604">
      <c r="A604" s="21" t="inlineStr">
        <is>
          <t>INV-10378</t>
        </is>
      </c>
      <c r="B604" s="22" t="n">
        <v>45847</v>
      </c>
      <c r="C604" s="21" t="inlineStr">
        <is>
          <t>R04</t>
        </is>
      </c>
      <c r="D604" s="21" t="inlineStr">
        <is>
          <t>P300</t>
        </is>
      </c>
      <c r="E604" s="21" t="n">
        <v>25</v>
      </c>
      <c r="F604" s="23" t="n">
        <v>0</v>
      </c>
      <c r="G604" s="24">
        <f>TEXT(B604,"mmm")</f>
        <v/>
      </c>
      <c r="H604" s="24">
        <f>HLOOKUP(C604,Lookups!$H$4:$K$5,2,FALSE)</f>
        <v/>
      </c>
      <c r="I604" s="24">
        <f>VLOOKUP(D604,Lookups!$A$5:$E$10,2,FALSE)</f>
        <v/>
      </c>
      <c r="J604" s="24">
        <f>VLOOKUP(D604,Lookups!$A$5:$E$10,3,FALSE)</f>
        <v/>
      </c>
      <c r="K604" s="25">
        <f>VLOOKUP(D604,Lookups!$A$5:$E$10,4,FALSE)</f>
        <v/>
      </c>
      <c r="L604" s="25">
        <f>E604*K604*(1-F604)</f>
        <v/>
      </c>
      <c r="M604" s="25">
        <f>L604*VLOOKUP(D604,Lookups!$A$5:$E$10,5,FALSE)</f>
        <v/>
      </c>
    </row>
    <row r="605">
      <c r="A605" s="21" t="inlineStr">
        <is>
          <t>INV-10993</t>
        </is>
      </c>
      <c r="B605" s="22" t="n">
        <v>45847</v>
      </c>
      <c r="C605" s="21" t="inlineStr">
        <is>
          <t>R04</t>
        </is>
      </c>
      <c r="D605" s="21" t="inlineStr">
        <is>
          <t>P100</t>
        </is>
      </c>
      <c r="E605" s="21" t="n">
        <v>8</v>
      </c>
      <c r="F605" s="23" t="n">
        <v>0.1</v>
      </c>
      <c r="G605" s="24">
        <f>TEXT(B605,"mmm")</f>
        <v/>
      </c>
      <c r="H605" s="24">
        <f>HLOOKUP(C605,Lookups!$H$4:$K$5,2,FALSE)</f>
        <v/>
      </c>
      <c r="I605" s="24">
        <f>VLOOKUP(D605,Lookups!$A$5:$E$10,2,FALSE)</f>
        <v/>
      </c>
      <c r="J605" s="24">
        <f>VLOOKUP(D605,Lookups!$A$5:$E$10,3,FALSE)</f>
        <v/>
      </c>
      <c r="K605" s="25">
        <f>VLOOKUP(D605,Lookups!$A$5:$E$10,4,FALSE)</f>
        <v/>
      </c>
      <c r="L605" s="25">
        <f>E605*K605*(1-F605)</f>
        <v/>
      </c>
      <c r="M605" s="25">
        <f>L605*VLOOKUP(D605,Lookups!$A$5:$E$10,5,FALSE)</f>
        <v/>
      </c>
    </row>
    <row r="606">
      <c r="A606" s="21" t="inlineStr">
        <is>
          <t>INV-10338</t>
        </is>
      </c>
      <c r="B606" s="22" t="n">
        <v>45848</v>
      </c>
      <c r="C606" s="21" t="inlineStr">
        <is>
          <t>R01</t>
        </is>
      </c>
      <c r="D606" s="21" t="inlineStr">
        <is>
          <t>P500</t>
        </is>
      </c>
      <c r="E606" s="21" t="n">
        <v>23</v>
      </c>
      <c r="F606" s="23" t="n">
        <v>0</v>
      </c>
      <c r="G606" s="24">
        <f>TEXT(B606,"mmm")</f>
        <v/>
      </c>
      <c r="H606" s="24">
        <f>HLOOKUP(C606,Lookups!$H$4:$K$5,2,FALSE)</f>
        <v/>
      </c>
      <c r="I606" s="24">
        <f>VLOOKUP(D606,Lookups!$A$5:$E$10,2,FALSE)</f>
        <v/>
      </c>
      <c r="J606" s="24">
        <f>VLOOKUP(D606,Lookups!$A$5:$E$10,3,FALSE)</f>
        <v/>
      </c>
      <c r="K606" s="25">
        <f>VLOOKUP(D606,Lookups!$A$5:$E$10,4,FALSE)</f>
        <v/>
      </c>
      <c r="L606" s="25">
        <f>E606*K606*(1-F606)</f>
        <v/>
      </c>
      <c r="M606" s="25">
        <f>L606*VLOOKUP(D606,Lookups!$A$5:$E$10,5,FALSE)</f>
        <v/>
      </c>
    </row>
    <row r="607">
      <c r="A607" s="21" t="inlineStr">
        <is>
          <t>INV-10638</t>
        </is>
      </c>
      <c r="B607" s="22" t="n">
        <v>45848</v>
      </c>
      <c r="C607" s="21" t="inlineStr">
        <is>
          <t>R02</t>
        </is>
      </c>
      <c r="D607" s="21" t="inlineStr">
        <is>
          <t>P600</t>
        </is>
      </c>
      <c r="E607" s="21" t="n">
        <v>2</v>
      </c>
      <c r="F607" s="23" t="n">
        <v>0.1</v>
      </c>
      <c r="G607" s="24">
        <f>TEXT(B607,"mmm")</f>
        <v/>
      </c>
      <c r="H607" s="24">
        <f>HLOOKUP(C607,Lookups!$H$4:$K$5,2,FALSE)</f>
        <v/>
      </c>
      <c r="I607" s="24">
        <f>VLOOKUP(D607,Lookups!$A$5:$E$10,2,FALSE)</f>
        <v/>
      </c>
      <c r="J607" s="24">
        <f>VLOOKUP(D607,Lookups!$A$5:$E$10,3,FALSE)</f>
        <v/>
      </c>
      <c r="K607" s="25">
        <f>VLOOKUP(D607,Lookups!$A$5:$E$10,4,FALSE)</f>
        <v/>
      </c>
      <c r="L607" s="25">
        <f>E607*K607*(1-F607)</f>
        <v/>
      </c>
      <c r="M607" s="25">
        <f>L607*VLOOKUP(D607,Lookups!$A$5:$E$10,5,FALSE)</f>
        <v/>
      </c>
    </row>
    <row r="608">
      <c r="A608" s="21" t="inlineStr">
        <is>
          <t>INV-10858</t>
        </is>
      </c>
      <c r="B608" s="22" t="n">
        <v>45848</v>
      </c>
      <c r="C608" s="21" t="inlineStr">
        <is>
          <t>R02</t>
        </is>
      </c>
      <c r="D608" s="21" t="inlineStr">
        <is>
          <t>P300</t>
        </is>
      </c>
      <c r="E608" s="21" t="n">
        <v>4</v>
      </c>
      <c r="F608" s="23" t="n">
        <v>0.1</v>
      </c>
      <c r="G608" s="24">
        <f>TEXT(B608,"mmm")</f>
        <v/>
      </c>
      <c r="H608" s="24">
        <f>HLOOKUP(C608,Lookups!$H$4:$K$5,2,FALSE)</f>
        <v/>
      </c>
      <c r="I608" s="24">
        <f>VLOOKUP(D608,Lookups!$A$5:$E$10,2,FALSE)</f>
        <v/>
      </c>
      <c r="J608" s="24">
        <f>VLOOKUP(D608,Lookups!$A$5:$E$10,3,FALSE)</f>
        <v/>
      </c>
      <c r="K608" s="25">
        <f>VLOOKUP(D608,Lookups!$A$5:$E$10,4,FALSE)</f>
        <v/>
      </c>
      <c r="L608" s="25">
        <f>E608*K608*(1-F608)</f>
        <v/>
      </c>
      <c r="M608" s="25">
        <f>L608*VLOOKUP(D608,Lookups!$A$5:$E$10,5,FALSE)</f>
        <v/>
      </c>
    </row>
    <row r="609">
      <c r="A609" s="21" t="inlineStr">
        <is>
          <t>INV-10356</t>
        </is>
      </c>
      <c r="B609" s="22" t="n">
        <v>45849</v>
      </c>
      <c r="C609" s="21" t="inlineStr">
        <is>
          <t>R01</t>
        </is>
      </c>
      <c r="D609" s="21" t="inlineStr">
        <is>
          <t>P300</t>
        </is>
      </c>
      <c r="E609" s="21" t="n">
        <v>12</v>
      </c>
      <c r="F609" s="23" t="n">
        <v>0</v>
      </c>
      <c r="G609" s="24">
        <f>TEXT(B609,"mmm")</f>
        <v/>
      </c>
      <c r="H609" s="24">
        <f>HLOOKUP(C609,Lookups!$H$4:$K$5,2,FALSE)</f>
        <v/>
      </c>
      <c r="I609" s="24">
        <f>VLOOKUP(D609,Lookups!$A$5:$E$10,2,FALSE)</f>
        <v/>
      </c>
      <c r="J609" s="24">
        <f>VLOOKUP(D609,Lookups!$A$5:$E$10,3,FALSE)</f>
        <v/>
      </c>
      <c r="K609" s="25">
        <f>VLOOKUP(D609,Lookups!$A$5:$E$10,4,FALSE)</f>
        <v/>
      </c>
      <c r="L609" s="25">
        <f>E609*K609*(1-F609)</f>
        <v/>
      </c>
      <c r="M609" s="25">
        <f>L609*VLOOKUP(D609,Lookups!$A$5:$E$10,5,FALSE)</f>
        <v/>
      </c>
    </row>
    <row r="610">
      <c r="A610" s="21" t="inlineStr">
        <is>
          <t>INV-10284</t>
        </is>
      </c>
      <c r="B610" s="22" t="n">
        <v>45850</v>
      </c>
      <c r="C610" s="21" t="inlineStr">
        <is>
          <t>R04</t>
        </is>
      </c>
      <c r="D610" s="21" t="inlineStr">
        <is>
          <t>P400</t>
        </is>
      </c>
      <c r="E610" s="21" t="n">
        <v>11</v>
      </c>
      <c r="F610" s="23" t="n">
        <v>0</v>
      </c>
      <c r="G610" s="24">
        <f>TEXT(B610,"mmm")</f>
        <v/>
      </c>
      <c r="H610" s="24">
        <f>HLOOKUP(C610,Lookups!$H$4:$K$5,2,FALSE)</f>
        <v/>
      </c>
      <c r="I610" s="24">
        <f>VLOOKUP(D610,Lookups!$A$5:$E$10,2,FALSE)</f>
        <v/>
      </c>
      <c r="J610" s="24">
        <f>VLOOKUP(D610,Lookups!$A$5:$E$10,3,FALSE)</f>
        <v/>
      </c>
      <c r="K610" s="25">
        <f>VLOOKUP(D610,Lookups!$A$5:$E$10,4,FALSE)</f>
        <v/>
      </c>
      <c r="L610" s="25">
        <f>E610*K610*(1-F610)</f>
        <v/>
      </c>
      <c r="M610" s="25">
        <f>L610*VLOOKUP(D610,Lookups!$A$5:$E$10,5,FALSE)</f>
        <v/>
      </c>
    </row>
    <row r="611">
      <c r="A611" s="21" t="inlineStr">
        <is>
          <t>INV-10626</t>
        </is>
      </c>
      <c r="B611" s="22" t="n">
        <v>45850</v>
      </c>
      <c r="C611" s="21" t="inlineStr">
        <is>
          <t>R01</t>
        </is>
      </c>
      <c r="D611" s="21" t="inlineStr">
        <is>
          <t>P400</t>
        </is>
      </c>
      <c r="E611" s="21" t="n">
        <v>21</v>
      </c>
      <c r="F611" s="23" t="n">
        <v>0</v>
      </c>
      <c r="G611" s="24">
        <f>TEXT(B611,"mmm")</f>
        <v/>
      </c>
      <c r="H611" s="24">
        <f>HLOOKUP(C611,Lookups!$H$4:$K$5,2,FALSE)</f>
        <v/>
      </c>
      <c r="I611" s="24">
        <f>VLOOKUP(D611,Lookups!$A$5:$E$10,2,FALSE)</f>
        <v/>
      </c>
      <c r="J611" s="24">
        <f>VLOOKUP(D611,Lookups!$A$5:$E$10,3,FALSE)</f>
        <v/>
      </c>
      <c r="K611" s="25">
        <f>VLOOKUP(D611,Lookups!$A$5:$E$10,4,FALSE)</f>
        <v/>
      </c>
      <c r="L611" s="25">
        <f>E611*K611*(1-F611)</f>
        <v/>
      </c>
      <c r="M611" s="25">
        <f>L611*VLOOKUP(D611,Lookups!$A$5:$E$10,5,FALSE)</f>
        <v/>
      </c>
    </row>
    <row r="612">
      <c r="A612" s="21" t="inlineStr">
        <is>
          <t>INV-10973</t>
        </is>
      </c>
      <c r="B612" s="22" t="n">
        <v>45850</v>
      </c>
      <c r="C612" s="21" t="inlineStr">
        <is>
          <t>R04</t>
        </is>
      </c>
      <c r="D612" s="21" t="inlineStr">
        <is>
          <t>P200</t>
        </is>
      </c>
      <c r="E612" s="21" t="n">
        <v>12</v>
      </c>
      <c r="F612" s="23" t="n">
        <v>0.05</v>
      </c>
      <c r="G612" s="24">
        <f>TEXT(B612,"mmm")</f>
        <v/>
      </c>
      <c r="H612" s="24">
        <f>HLOOKUP(C612,Lookups!$H$4:$K$5,2,FALSE)</f>
        <v/>
      </c>
      <c r="I612" s="24">
        <f>VLOOKUP(D612,Lookups!$A$5:$E$10,2,FALSE)</f>
        <v/>
      </c>
      <c r="J612" s="24">
        <f>VLOOKUP(D612,Lookups!$A$5:$E$10,3,FALSE)</f>
        <v/>
      </c>
      <c r="K612" s="25">
        <f>VLOOKUP(D612,Lookups!$A$5:$E$10,4,FALSE)</f>
        <v/>
      </c>
      <c r="L612" s="25">
        <f>E612*K612*(1-F612)</f>
        <v/>
      </c>
      <c r="M612" s="25">
        <f>L612*VLOOKUP(D612,Lookups!$A$5:$E$10,5,FALSE)</f>
        <v/>
      </c>
    </row>
    <row r="613">
      <c r="A613" s="21" t="inlineStr">
        <is>
          <t>INV-11141</t>
        </is>
      </c>
      <c r="B613" s="22" t="n">
        <v>45850</v>
      </c>
      <c r="C613" s="21" t="inlineStr">
        <is>
          <t>R03</t>
        </is>
      </c>
      <c r="D613" s="21" t="inlineStr">
        <is>
          <t>P500</t>
        </is>
      </c>
      <c r="E613" s="21" t="n">
        <v>12</v>
      </c>
      <c r="F613" s="23" t="n">
        <v>0.1</v>
      </c>
      <c r="G613" s="24">
        <f>TEXT(B613,"mmm")</f>
        <v/>
      </c>
      <c r="H613" s="24">
        <f>HLOOKUP(C613,Lookups!$H$4:$K$5,2,FALSE)</f>
        <v/>
      </c>
      <c r="I613" s="24">
        <f>VLOOKUP(D613,Lookups!$A$5:$E$10,2,FALSE)</f>
        <v/>
      </c>
      <c r="J613" s="24">
        <f>VLOOKUP(D613,Lookups!$A$5:$E$10,3,FALSE)</f>
        <v/>
      </c>
      <c r="K613" s="25">
        <f>VLOOKUP(D613,Lookups!$A$5:$E$10,4,FALSE)</f>
        <v/>
      </c>
      <c r="L613" s="25">
        <f>E613*K613*(1-F613)</f>
        <v/>
      </c>
      <c r="M613" s="25">
        <f>L613*VLOOKUP(D613,Lookups!$A$5:$E$10,5,FALSE)</f>
        <v/>
      </c>
    </row>
    <row r="614">
      <c r="A614" s="21" t="inlineStr">
        <is>
          <t>INV-11176</t>
        </is>
      </c>
      <c r="B614" s="22" t="n">
        <v>45850</v>
      </c>
      <c r="C614" s="21" t="inlineStr">
        <is>
          <t>R01</t>
        </is>
      </c>
      <c r="D614" s="21" t="inlineStr">
        <is>
          <t>P500</t>
        </is>
      </c>
      <c r="E614" s="21" t="n">
        <v>9</v>
      </c>
      <c r="F614" s="23" t="n">
        <v>0</v>
      </c>
      <c r="G614" s="24">
        <f>TEXT(B614,"mmm")</f>
        <v/>
      </c>
      <c r="H614" s="24">
        <f>HLOOKUP(C614,Lookups!$H$4:$K$5,2,FALSE)</f>
        <v/>
      </c>
      <c r="I614" s="24">
        <f>VLOOKUP(D614,Lookups!$A$5:$E$10,2,FALSE)</f>
        <v/>
      </c>
      <c r="J614" s="24">
        <f>VLOOKUP(D614,Lookups!$A$5:$E$10,3,FALSE)</f>
        <v/>
      </c>
      <c r="K614" s="25">
        <f>VLOOKUP(D614,Lookups!$A$5:$E$10,4,FALSE)</f>
        <v/>
      </c>
      <c r="L614" s="25">
        <f>E614*K614*(1-F614)</f>
        <v/>
      </c>
      <c r="M614" s="25">
        <f>L614*VLOOKUP(D614,Lookups!$A$5:$E$10,5,FALSE)</f>
        <v/>
      </c>
    </row>
    <row r="615">
      <c r="A615" s="21" t="inlineStr">
        <is>
          <t>INV-10011</t>
        </is>
      </c>
      <c r="B615" s="22" t="n">
        <v>45851</v>
      </c>
      <c r="C615" s="21" t="inlineStr">
        <is>
          <t>R03</t>
        </is>
      </c>
      <c r="D615" s="21" t="inlineStr">
        <is>
          <t>P100</t>
        </is>
      </c>
      <c r="E615" s="21" t="n">
        <v>21</v>
      </c>
      <c r="F615" s="23" t="n">
        <v>0.05</v>
      </c>
      <c r="G615" s="24">
        <f>TEXT(B615,"mmm")</f>
        <v/>
      </c>
      <c r="H615" s="24">
        <f>HLOOKUP(C615,Lookups!$H$4:$K$5,2,FALSE)</f>
        <v/>
      </c>
      <c r="I615" s="24">
        <f>VLOOKUP(D615,Lookups!$A$5:$E$10,2,FALSE)</f>
        <v/>
      </c>
      <c r="J615" s="24">
        <f>VLOOKUP(D615,Lookups!$A$5:$E$10,3,FALSE)</f>
        <v/>
      </c>
      <c r="K615" s="25">
        <f>VLOOKUP(D615,Lookups!$A$5:$E$10,4,FALSE)</f>
        <v/>
      </c>
      <c r="L615" s="25">
        <f>E615*K615*(1-F615)</f>
        <v/>
      </c>
      <c r="M615" s="25">
        <f>L615*VLOOKUP(D615,Lookups!$A$5:$E$10,5,FALSE)</f>
        <v/>
      </c>
    </row>
    <row r="616">
      <c r="A616" s="21" t="inlineStr">
        <is>
          <t>INV-10508</t>
        </is>
      </c>
      <c r="B616" s="22" t="n">
        <v>45851</v>
      </c>
      <c r="C616" s="21" t="inlineStr">
        <is>
          <t>R01</t>
        </is>
      </c>
      <c r="D616" s="21" t="inlineStr">
        <is>
          <t>P600</t>
        </is>
      </c>
      <c r="E616" s="21" t="n">
        <v>3</v>
      </c>
      <c r="F616" s="23" t="n">
        <v>0</v>
      </c>
      <c r="G616" s="24">
        <f>TEXT(B616,"mmm")</f>
        <v/>
      </c>
      <c r="H616" s="24">
        <f>HLOOKUP(C616,Lookups!$H$4:$K$5,2,FALSE)</f>
        <v/>
      </c>
      <c r="I616" s="24">
        <f>VLOOKUP(D616,Lookups!$A$5:$E$10,2,FALSE)</f>
        <v/>
      </c>
      <c r="J616" s="24">
        <f>VLOOKUP(D616,Lookups!$A$5:$E$10,3,FALSE)</f>
        <v/>
      </c>
      <c r="K616" s="25">
        <f>VLOOKUP(D616,Lookups!$A$5:$E$10,4,FALSE)</f>
        <v/>
      </c>
      <c r="L616" s="25">
        <f>E616*K616*(1-F616)</f>
        <v/>
      </c>
      <c r="M616" s="25">
        <f>L616*VLOOKUP(D616,Lookups!$A$5:$E$10,5,FALSE)</f>
        <v/>
      </c>
    </row>
    <row r="617">
      <c r="A617" s="21" t="inlineStr">
        <is>
          <t>INV-10055</t>
        </is>
      </c>
      <c r="B617" s="22" t="n">
        <v>45852</v>
      </c>
      <c r="C617" s="21" t="inlineStr">
        <is>
          <t>R04</t>
        </is>
      </c>
      <c r="D617" s="21" t="inlineStr">
        <is>
          <t>P100</t>
        </is>
      </c>
      <c r="E617" s="21" t="n">
        <v>9</v>
      </c>
      <c r="F617" s="23" t="n">
        <v>0.1</v>
      </c>
      <c r="G617" s="24">
        <f>TEXT(B617,"mmm")</f>
        <v/>
      </c>
      <c r="H617" s="24">
        <f>HLOOKUP(C617,Lookups!$H$4:$K$5,2,FALSE)</f>
        <v/>
      </c>
      <c r="I617" s="24">
        <f>VLOOKUP(D617,Lookups!$A$5:$E$10,2,FALSE)</f>
        <v/>
      </c>
      <c r="J617" s="24">
        <f>VLOOKUP(D617,Lookups!$A$5:$E$10,3,FALSE)</f>
        <v/>
      </c>
      <c r="K617" s="25">
        <f>VLOOKUP(D617,Lookups!$A$5:$E$10,4,FALSE)</f>
        <v/>
      </c>
      <c r="L617" s="25">
        <f>E617*K617*(1-F617)</f>
        <v/>
      </c>
      <c r="M617" s="25">
        <f>L617*VLOOKUP(D617,Lookups!$A$5:$E$10,5,FALSE)</f>
        <v/>
      </c>
    </row>
    <row r="618">
      <c r="A618" s="21" t="inlineStr">
        <is>
          <t>INV-10295</t>
        </is>
      </c>
      <c r="B618" s="22" t="n">
        <v>45852</v>
      </c>
      <c r="C618" s="21" t="inlineStr">
        <is>
          <t>R02</t>
        </is>
      </c>
      <c r="D618" s="21" t="inlineStr">
        <is>
          <t>P500</t>
        </is>
      </c>
      <c r="E618" s="21" t="n">
        <v>17</v>
      </c>
      <c r="F618" s="23" t="n">
        <v>0.05</v>
      </c>
      <c r="G618" s="24">
        <f>TEXT(B618,"mmm")</f>
        <v/>
      </c>
      <c r="H618" s="24">
        <f>HLOOKUP(C618,Lookups!$H$4:$K$5,2,FALSE)</f>
        <v/>
      </c>
      <c r="I618" s="24">
        <f>VLOOKUP(D618,Lookups!$A$5:$E$10,2,FALSE)</f>
        <v/>
      </c>
      <c r="J618" s="24">
        <f>VLOOKUP(D618,Lookups!$A$5:$E$10,3,FALSE)</f>
        <v/>
      </c>
      <c r="K618" s="25">
        <f>VLOOKUP(D618,Lookups!$A$5:$E$10,4,FALSE)</f>
        <v/>
      </c>
      <c r="L618" s="25">
        <f>E618*K618*(1-F618)</f>
        <v/>
      </c>
      <c r="M618" s="25">
        <f>L618*VLOOKUP(D618,Lookups!$A$5:$E$10,5,FALSE)</f>
        <v/>
      </c>
    </row>
    <row r="619">
      <c r="A619" s="21" t="inlineStr">
        <is>
          <t>INV-10513</t>
        </is>
      </c>
      <c r="B619" s="22" t="n">
        <v>45852</v>
      </c>
      <c r="C619" s="21" t="inlineStr">
        <is>
          <t>R03</t>
        </is>
      </c>
      <c r="D619" s="21" t="inlineStr">
        <is>
          <t>P400</t>
        </is>
      </c>
      <c r="E619" s="21" t="n">
        <v>10</v>
      </c>
      <c r="F619" s="23" t="n">
        <v>0.05</v>
      </c>
      <c r="G619" s="24">
        <f>TEXT(B619,"mmm")</f>
        <v/>
      </c>
      <c r="H619" s="24">
        <f>HLOOKUP(C619,Lookups!$H$4:$K$5,2,FALSE)</f>
        <v/>
      </c>
      <c r="I619" s="24">
        <f>VLOOKUP(D619,Lookups!$A$5:$E$10,2,FALSE)</f>
        <v/>
      </c>
      <c r="J619" s="24">
        <f>VLOOKUP(D619,Lookups!$A$5:$E$10,3,FALSE)</f>
        <v/>
      </c>
      <c r="K619" s="25">
        <f>VLOOKUP(D619,Lookups!$A$5:$E$10,4,FALSE)</f>
        <v/>
      </c>
      <c r="L619" s="25">
        <f>E619*K619*(1-F619)</f>
        <v/>
      </c>
      <c r="M619" s="25">
        <f>L619*VLOOKUP(D619,Lookups!$A$5:$E$10,5,FALSE)</f>
        <v/>
      </c>
    </row>
    <row r="620">
      <c r="A620" s="21" t="inlineStr">
        <is>
          <t>INV-10535</t>
        </is>
      </c>
      <c r="B620" s="22" t="n">
        <v>45852</v>
      </c>
      <c r="C620" s="21" t="inlineStr">
        <is>
          <t>R04</t>
        </is>
      </c>
      <c r="D620" s="21" t="inlineStr">
        <is>
          <t>P400</t>
        </is>
      </c>
      <c r="E620" s="21" t="n">
        <v>2</v>
      </c>
      <c r="F620" s="23" t="n">
        <v>0</v>
      </c>
      <c r="G620" s="24">
        <f>TEXT(B620,"mmm")</f>
        <v/>
      </c>
      <c r="H620" s="24">
        <f>HLOOKUP(C620,Lookups!$H$4:$K$5,2,FALSE)</f>
        <v/>
      </c>
      <c r="I620" s="24">
        <f>VLOOKUP(D620,Lookups!$A$5:$E$10,2,FALSE)</f>
        <v/>
      </c>
      <c r="J620" s="24">
        <f>VLOOKUP(D620,Lookups!$A$5:$E$10,3,FALSE)</f>
        <v/>
      </c>
      <c r="K620" s="25">
        <f>VLOOKUP(D620,Lookups!$A$5:$E$10,4,FALSE)</f>
        <v/>
      </c>
      <c r="L620" s="25">
        <f>E620*K620*(1-F620)</f>
        <v/>
      </c>
      <c r="M620" s="25">
        <f>L620*VLOOKUP(D620,Lookups!$A$5:$E$10,5,FALSE)</f>
        <v/>
      </c>
    </row>
    <row r="621">
      <c r="A621" s="21" t="inlineStr">
        <is>
          <t>INV-10225</t>
        </is>
      </c>
      <c r="B621" s="22" t="n">
        <v>45853</v>
      </c>
      <c r="C621" s="21" t="inlineStr">
        <is>
          <t>R03</t>
        </is>
      </c>
      <c r="D621" s="21" t="inlineStr">
        <is>
          <t>P500</t>
        </is>
      </c>
      <c r="E621" s="21" t="n">
        <v>19</v>
      </c>
      <c r="F621" s="23" t="n">
        <v>0.05</v>
      </c>
      <c r="G621" s="24">
        <f>TEXT(B621,"mmm")</f>
        <v/>
      </c>
      <c r="H621" s="24">
        <f>HLOOKUP(C621,Lookups!$H$4:$K$5,2,FALSE)</f>
        <v/>
      </c>
      <c r="I621" s="24">
        <f>VLOOKUP(D621,Lookups!$A$5:$E$10,2,FALSE)</f>
        <v/>
      </c>
      <c r="J621" s="24">
        <f>VLOOKUP(D621,Lookups!$A$5:$E$10,3,FALSE)</f>
        <v/>
      </c>
      <c r="K621" s="25">
        <f>VLOOKUP(D621,Lookups!$A$5:$E$10,4,FALSE)</f>
        <v/>
      </c>
      <c r="L621" s="25">
        <f>E621*K621*(1-F621)</f>
        <v/>
      </c>
      <c r="M621" s="25">
        <f>L621*VLOOKUP(D621,Lookups!$A$5:$E$10,5,FALSE)</f>
        <v/>
      </c>
    </row>
    <row r="622">
      <c r="A622" s="21" t="inlineStr">
        <is>
          <t>INV-10336</t>
        </is>
      </c>
      <c r="B622" s="22" t="n">
        <v>45853</v>
      </c>
      <c r="C622" s="21" t="inlineStr">
        <is>
          <t>R04</t>
        </is>
      </c>
      <c r="D622" s="21" t="inlineStr">
        <is>
          <t>P500</t>
        </is>
      </c>
      <c r="E622" s="21" t="n">
        <v>6</v>
      </c>
      <c r="F622" s="23" t="n">
        <v>0</v>
      </c>
      <c r="G622" s="24">
        <f>TEXT(B622,"mmm")</f>
        <v/>
      </c>
      <c r="H622" s="24">
        <f>HLOOKUP(C622,Lookups!$H$4:$K$5,2,FALSE)</f>
        <v/>
      </c>
      <c r="I622" s="24">
        <f>VLOOKUP(D622,Lookups!$A$5:$E$10,2,FALSE)</f>
        <v/>
      </c>
      <c r="J622" s="24">
        <f>VLOOKUP(D622,Lookups!$A$5:$E$10,3,FALSE)</f>
        <v/>
      </c>
      <c r="K622" s="25">
        <f>VLOOKUP(D622,Lookups!$A$5:$E$10,4,FALSE)</f>
        <v/>
      </c>
      <c r="L622" s="25">
        <f>E622*K622*(1-F622)</f>
        <v/>
      </c>
      <c r="M622" s="25">
        <f>L622*VLOOKUP(D622,Lookups!$A$5:$E$10,5,FALSE)</f>
        <v/>
      </c>
    </row>
    <row r="623">
      <c r="A623" s="21" t="inlineStr">
        <is>
          <t>INV-10717</t>
        </is>
      </c>
      <c r="B623" s="22" t="n">
        <v>45853</v>
      </c>
      <c r="C623" s="21" t="inlineStr">
        <is>
          <t>R03</t>
        </is>
      </c>
      <c r="D623" s="21" t="inlineStr">
        <is>
          <t>P600</t>
        </is>
      </c>
      <c r="E623" s="21" t="n">
        <v>16</v>
      </c>
      <c r="F623" s="23" t="n">
        <v>0.1</v>
      </c>
      <c r="G623" s="24">
        <f>TEXT(B623,"mmm")</f>
        <v/>
      </c>
      <c r="H623" s="24">
        <f>HLOOKUP(C623,Lookups!$H$4:$K$5,2,FALSE)</f>
        <v/>
      </c>
      <c r="I623" s="24">
        <f>VLOOKUP(D623,Lookups!$A$5:$E$10,2,FALSE)</f>
        <v/>
      </c>
      <c r="J623" s="24">
        <f>VLOOKUP(D623,Lookups!$A$5:$E$10,3,FALSE)</f>
        <v/>
      </c>
      <c r="K623" s="25">
        <f>VLOOKUP(D623,Lookups!$A$5:$E$10,4,FALSE)</f>
        <v/>
      </c>
      <c r="L623" s="25">
        <f>E623*K623*(1-F623)</f>
        <v/>
      </c>
      <c r="M623" s="25">
        <f>L623*VLOOKUP(D623,Lookups!$A$5:$E$10,5,FALSE)</f>
        <v/>
      </c>
    </row>
    <row r="624">
      <c r="A624" s="21" t="inlineStr">
        <is>
          <t>INV-10922</t>
        </is>
      </c>
      <c r="B624" s="22" t="n">
        <v>45853</v>
      </c>
      <c r="C624" s="21" t="inlineStr">
        <is>
          <t>R04</t>
        </is>
      </c>
      <c r="D624" s="21" t="inlineStr">
        <is>
          <t>P100</t>
        </is>
      </c>
      <c r="E624" s="21" t="n">
        <v>9</v>
      </c>
      <c r="F624" s="23" t="n">
        <v>0.05</v>
      </c>
      <c r="G624" s="24">
        <f>TEXT(B624,"mmm")</f>
        <v/>
      </c>
      <c r="H624" s="24">
        <f>HLOOKUP(C624,Lookups!$H$4:$K$5,2,FALSE)</f>
        <v/>
      </c>
      <c r="I624" s="24">
        <f>VLOOKUP(D624,Lookups!$A$5:$E$10,2,FALSE)</f>
        <v/>
      </c>
      <c r="J624" s="24">
        <f>VLOOKUP(D624,Lookups!$A$5:$E$10,3,FALSE)</f>
        <v/>
      </c>
      <c r="K624" s="25">
        <f>VLOOKUP(D624,Lookups!$A$5:$E$10,4,FALSE)</f>
        <v/>
      </c>
      <c r="L624" s="25">
        <f>E624*K624*(1-F624)</f>
        <v/>
      </c>
      <c r="M624" s="25">
        <f>L624*VLOOKUP(D624,Lookups!$A$5:$E$10,5,FALSE)</f>
        <v/>
      </c>
    </row>
    <row r="625">
      <c r="A625" s="21" t="inlineStr">
        <is>
          <t>INV-10994</t>
        </is>
      </c>
      <c r="B625" s="22" t="n">
        <v>45853</v>
      </c>
      <c r="C625" s="21" t="inlineStr">
        <is>
          <t>R01</t>
        </is>
      </c>
      <c r="D625" s="21" t="inlineStr">
        <is>
          <t>P300</t>
        </is>
      </c>
      <c r="E625" s="21" t="n">
        <v>14</v>
      </c>
      <c r="F625" s="23" t="n">
        <v>0</v>
      </c>
      <c r="G625" s="24">
        <f>TEXT(B625,"mmm")</f>
        <v/>
      </c>
      <c r="H625" s="24">
        <f>HLOOKUP(C625,Lookups!$H$4:$K$5,2,FALSE)</f>
        <v/>
      </c>
      <c r="I625" s="24">
        <f>VLOOKUP(D625,Lookups!$A$5:$E$10,2,FALSE)</f>
        <v/>
      </c>
      <c r="J625" s="24">
        <f>VLOOKUP(D625,Lookups!$A$5:$E$10,3,FALSE)</f>
        <v/>
      </c>
      <c r="K625" s="25">
        <f>VLOOKUP(D625,Lookups!$A$5:$E$10,4,FALSE)</f>
        <v/>
      </c>
      <c r="L625" s="25">
        <f>E625*K625*(1-F625)</f>
        <v/>
      </c>
      <c r="M625" s="25">
        <f>L625*VLOOKUP(D625,Lookups!$A$5:$E$10,5,FALSE)</f>
        <v/>
      </c>
    </row>
    <row r="626">
      <c r="A626" s="21" t="inlineStr">
        <is>
          <t>INV-10116</t>
        </is>
      </c>
      <c r="B626" s="22" t="n">
        <v>45854</v>
      </c>
      <c r="C626" s="21" t="inlineStr">
        <is>
          <t>R02</t>
        </is>
      </c>
      <c r="D626" s="21" t="inlineStr">
        <is>
          <t>P600</t>
        </is>
      </c>
      <c r="E626" s="21" t="n">
        <v>23</v>
      </c>
      <c r="F626" s="23" t="n">
        <v>0</v>
      </c>
      <c r="G626" s="24">
        <f>TEXT(B626,"mmm")</f>
        <v/>
      </c>
      <c r="H626" s="24">
        <f>HLOOKUP(C626,Lookups!$H$4:$K$5,2,FALSE)</f>
        <v/>
      </c>
      <c r="I626" s="24">
        <f>VLOOKUP(D626,Lookups!$A$5:$E$10,2,FALSE)</f>
        <v/>
      </c>
      <c r="J626" s="24">
        <f>VLOOKUP(D626,Lookups!$A$5:$E$10,3,FALSE)</f>
        <v/>
      </c>
      <c r="K626" s="25">
        <f>VLOOKUP(D626,Lookups!$A$5:$E$10,4,FALSE)</f>
        <v/>
      </c>
      <c r="L626" s="25">
        <f>E626*K626*(1-F626)</f>
        <v/>
      </c>
      <c r="M626" s="25">
        <f>L626*VLOOKUP(D626,Lookups!$A$5:$E$10,5,FALSE)</f>
        <v/>
      </c>
    </row>
    <row r="627">
      <c r="A627" s="21" t="inlineStr">
        <is>
          <t>INV-10199</t>
        </is>
      </c>
      <c r="B627" s="22" t="n">
        <v>45854</v>
      </c>
      <c r="C627" s="21" t="inlineStr">
        <is>
          <t>R02</t>
        </is>
      </c>
      <c r="D627" s="21" t="inlineStr">
        <is>
          <t>P200</t>
        </is>
      </c>
      <c r="E627" s="21" t="n">
        <v>3</v>
      </c>
      <c r="F627" s="23" t="n">
        <v>0.05</v>
      </c>
      <c r="G627" s="24">
        <f>TEXT(B627,"mmm")</f>
        <v/>
      </c>
      <c r="H627" s="24">
        <f>HLOOKUP(C627,Lookups!$H$4:$K$5,2,FALSE)</f>
        <v/>
      </c>
      <c r="I627" s="24">
        <f>VLOOKUP(D627,Lookups!$A$5:$E$10,2,FALSE)</f>
        <v/>
      </c>
      <c r="J627" s="24">
        <f>VLOOKUP(D627,Lookups!$A$5:$E$10,3,FALSE)</f>
        <v/>
      </c>
      <c r="K627" s="25">
        <f>VLOOKUP(D627,Lookups!$A$5:$E$10,4,FALSE)</f>
        <v/>
      </c>
      <c r="L627" s="25">
        <f>E627*K627*(1-F627)</f>
        <v/>
      </c>
      <c r="M627" s="25">
        <f>L627*VLOOKUP(D627,Lookups!$A$5:$E$10,5,FALSE)</f>
        <v/>
      </c>
    </row>
    <row r="628">
      <c r="A628" s="21" t="inlineStr">
        <is>
          <t>INV-10465</t>
        </is>
      </c>
      <c r="B628" s="22" t="n">
        <v>45854</v>
      </c>
      <c r="C628" s="21" t="inlineStr">
        <is>
          <t>R04</t>
        </is>
      </c>
      <c r="D628" s="21" t="inlineStr">
        <is>
          <t>P200</t>
        </is>
      </c>
      <c r="E628" s="21" t="n">
        <v>25</v>
      </c>
      <c r="F628" s="23" t="n">
        <v>0.05</v>
      </c>
      <c r="G628" s="24">
        <f>TEXT(B628,"mmm")</f>
        <v/>
      </c>
      <c r="H628" s="24">
        <f>HLOOKUP(C628,Lookups!$H$4:$K$5,2,FALSE)</f>
        <v/>
      </c>
      <c r="I628" s="24">
        <f>VLOOKUP(D628,Lookups!$A$5:$E$10,2,FALSE)</f>
        <v/>
      </c>
      <c r="J628" s="24">
        <f>VLOOKUP(D628,Lookups!$A$5:$E$10,3,FALSE)</f>
        <v/>
      </c>
      <c r="K628" s="25">
        <f>VLOOKUP(D628,Lookups!$A$5:$E$10,4,FALSE)</f>
        <v/>
      </c>
      <c r="L628" s="25">
        <f>E628*K628*(1-F628)</f>
        <v/>
      </c>
      <c r="M628" s="25">
        <f>L628*VLOOKUP(D628,Lookups!$A$5:$E$10,5,FALSE)</f>
        <v/>
      </c>
    </row>
    <row r="629">
      <c r="A629" s="21" t="inlineStr">
        <is>
          <t>INV-10543</t>
        </is>
      </c>
      <c r="B629" s="22" t="n">
        <v>45854</v>
      </c>
      <c r="C629" s="21" t="inlineStr">
        <is>
          <t>R02</t>
        </is>
      </c>
      <c r="D629" s="21" t="inlineStr">
        <is>
          <t>P600</t>
        </is>
      </c>
      <c r="E629" s="21" t="n">
        <v>23</v>
      </c>
      <c r="F629" s="23" t="n">
        <v>0</v>
      </c>
      <c r="G629" s="24">
        <f>TEXT(B629,"mmm")</f>
        <v/>
      </c>
      <c r="H629" s="24">
        <f>HLOOKUP(C629,Lookups!$H$4:$K$5,2,FALSE)</f>
        <v/>
      </c>
      <c r="I629" s="24">
        <f>VLOOKUP(D629,Lookups!$A$5:$E$10,2,FALSE)</f>
        <v/>
      </c>
      <c r="J629" s="24">
        <f>VLOOKUP(D629,Lookups!$A$5:$E$10,3,FALSE)</f>
        <v/>
      </c>
      <c r="K629" s="25">
        <f>VLOOKUP(D629,Lookups!$A$5:$E$10,4,FALSE)</f>
        <v/>
      </c>
      <c r="L629" s="25">
        <f>E629*K629*(1-F629)</f>
        <v/>
      </c>
      <c r="M629" s="25">
        <f>L629*VLOOKUP(D629,Lookups!$A$5:$E$10,5,FALSE)</f>
        <v/>
      </c>
    </row>
    <row r="630">
      <c r="A630" s="21" t="inlineStr">
        <is>
          <t>INV-10644</t>
        </is>
      </c>
      <c r="B630" s="22" t="n">
        <v>45854</v>
      </c>
      <c r="C630" s="21" t="inlineStr">
        <is>
          <t>R01</t>
        </is>
      </c>
      <c r="D630" s="21" t="inlineStr">
        <is>
          <t>P100</t>
        </is>
      </c>
      <c r="E630" s="21" t="n">
        <v>4</v>
      </c>
      <c r="F630" s="23" t="n">
        <v>0.05</v>
      </c>
      <c r="G630" s="24">
        <f>TEXT(B630,"mmm")</f>
        <v/>
      </c>
      <c r="H630" s="24">
        <f>HLOOKUP(C630,Lookups!$H$4:$K$5,2,FALSE)</f>
        <v/>
      </c>
      <c r="I630" s="24">
        <f>VLOOKUP(D630,Lookups!$A$5:$E$10,2,FALSE)</f>
        <v/>
      </c>
      <c r="J630" s="24">
        <f>VLOOKUP(D630,Lookups!$A$5:$E$10,3,FALSE)</f>
        <v/>
      </c>
      <c r="K630" s="25">
        <f>VLOOKUP(D630,Lookups!$A$5:$E$10,4,FALSE)</f>
        <v/>
      </c>
      <c r="L630" s="25">
        <f>E630*K630*(1-F630)</f>
        <v/>
      </c>
      <c r="M630" s="25">
        <f>L630*VLOOKUP(D630,Lookups!$A$5:$E$10,5,FALSE)</f>
        <v/>
      </c>
    </row>
    <row r="631">
      <c r="A631" s="21" t="inlineStr">
        <is>
          <t>INV-11010</t>
        </is>
      </c>
      <c r="B631" s="22" t="n">
        <v>45854</v>
      </c>
      <c r="C631" s="21" t="inlineStr">
        <is>
          <t>R03</t>
        </is>
      </c>
      <c r="D631" s="21" t="inlineStr">
        <is>
          <t>P400</t>
        </is>
      </c>
      <c r="E631" s="21" t="n">
        <v>23</v>
      </c>
      <c r="F631" s="23" t="n">
        <v>0</v>
      </c>
      <c r="G631" s="24">
        <f>TEXT(B631,"mmm")</f>
        <v/>
      </c>
      <c r="H631" s="24">
        <f>HLOOKUP(C631,Lookups!$H$4:$K$5,2,FALSE)</f>
        <v/>
      </c>
      <c r="I631" s="24">
        <f>VLOOKUP(D631,Lookups!$A$5:$E$10,2,FALSE)</f>
        <v/>
      </c>
      <c r="J631" s="24">
        <f>VLOOKUP(D631,Lookups!$A$5:$E$10,3,FALSE)</f>
        <v/>
      </c>
      <c r="K631" s="25">
        <f>VLOOKUP(D631,Lookups!$A$5:$E$10,4,FALSE)</f>
        <v/>
      </c>
      <c r="L631" s="25">
        <f>E631*K631*(1-F631)</f>
        <v/>
      </c>
      <c r="M631" s="25">
        <f>L631*VLOOKUP(D631,Lookups!$A$5:$E$10,5,FALSE)</f>
        <v/>
      </c>
    </row>
    <row r="632">
      <c r="A632" s="21" t="inlineStr">
        <is>
          <t>INV-10206</t>
        </is>
      </c>
      <c r="B632" s="22" t="n">
        <v>45855</v>
      </c>
      <c r="C632" s="21" t="inlineStr">
        <is>
          <t>R02</t>
        </is>
      </c>
      <c r="D632" s="21" t="inlineStr">
        <is>
          <t>P600</t>
        </is>
      </c>
      <c r="E632" s="21" t="n">
        <v>16</v>
      </c>
      <c r="F632" s="23" t="n">
        <v>0</v>
      </c>
      <c r="G632" s="24">
        <f>TEXT(B632,"mmm")</f>
        <v/>
      </c>
      <c r="H632" s="24">
        <f>HLOOKUP(C632,Lookups!$H$4:$K$5,2,FALSE)</f>
        <v/>
      </c>
      <c r="I632" s="24">
        <f>VLOOKUP(D632,Lookups!$A$5:$E$10,2,FALSE)</f>
        <v/>
      </c>
      <c r="J632" s="24">
        <f>VLOOKUP(D632,Lookups!$A$5:$E$10,3,FALSE)</f>
        <v/>
      </c>
      <c r="K632" s="25">
        <f>VLOOKUP(D632,Lookups!$A$5:$E$10,4,FALSE)</f>
        <v/>
      </c>
      <c r="L632" s="25">
        <f>E632*K632*(1-F632)</f>
        <v/>
      </c>
      <c r="M632" s="25">
        <f>L632*VLOOKUP(D632,Lookups!$A$5:$E$10,5,FALSE)</f>
        <v/>
      </c>
    </row>
    <row r="633">
      <c r="A633" s="21" t="inlineStr">
        <is>
          <t>INV-10556</t>
        </is>
      </c>
      <c r="B633" s="22" t="n">
        <v>45855</v>
      </c>
      <c r="C633" s="21" t="inlineStr">
        <is>
          <t>R03</t>
        </is>
      </c>
      <c r="D633" s="21" t="inlineStr">
        <is>
          <t>P100</t>
        </is>
      </c>
      <c r="E633" s="21" t="n">
        <v>14</v>
      </c>
      <c r="F633" s="23" t="n">
        <v>0.1</v>
      </c>
      <c r="G633" s="24">
        <f>TEXT(B633,"mmm")</f>
        <v/>
      </c>
      <c r="H633" s="24">
        <f>HLOOKUP(C633,Lookups!$H$4:$K$5,2,FALSE)</f>
        <v/>
      </c>
      <c r="I633" s="24">
        <f>VLOOKUP(D633,Lookups!$A$5:$E$10,2,FALSE)</f>
        <v/>
      </c>
      <c r="J633" s="24">
        <f>VLOOKUP(D633,Lookups!$A$5:$E$10,3,FALSE)</f>
        <v/>
      </c>
      <c r="K633" s="25">
        <f>VLOOKUP(D633,Lookups!$A$5:$E$10,4,FALSE)</f>
        <v/>
      </c>
      <c r="L633" s="25">
        <f>E633*K633*(1-F633)</f>
        <v/>
      </c>
      <c r="M633" s="25">
        <f>L633*VLOOKUP(D633,Lookups!$A$5:$E$10,5,FALSE)</f>
        <v/>
      </c>
    </row>
    <row r="634">
      <c r="A634" s="21" t="inlineStr">
        <is>
          <t>INV-10655</t>
        </is>
      </c>
      <c r="B634" s="22" t="n">
        <v>45855</v>
      </c>
      <c r="C634" s="21" t="inlineStr">
        <is>
          <t>R02</t>
        </is>
      </c>
      <c r="D634" s="21" t="inlineStr">
        <is>
          <t>P100</t>
        </is>
      </c>
      <c r="E634" s="21" t="n">
        <v>16</v>
      </c>
      <c r="F634" s="23" t="n">
        <v>0</v>
      </c>
      <c r="G634" s="24">
        <f>TEXT(B634,"mmm")</f>
        <v/>
      </c>
      <c r="H634" s="24">
        <f>HLOOKUP(C634,Lookups!$H$4:$K$5,2,FALSE)</f>
        <v/>
      </c>
      <c r="I634" s="24">
        <f>VLOOKUP(D634,Lookups!$A$5:$E$10,2,FALSE)</f>
        <v/>
      </c>
      <c r="J634" s="24">
        <f>VLOOKUP(D634,Lookups!$A$5:$E$10,3,FALSE)</f>
        <v/>
      </c>
      <c r="K634" s="25">
        <f>VLOOKUP(D634,Lookups!$A$5:$E$10,4,FALSE)</f>
        <v/>
      </c>
      <c r="L634" s="25">
        <f>E634*K634*(1-F634)</f>
        <v/>
      </c>
      <c r="M634" s="25">
        <f>L634*VLOOKUP(D634,Lookups!$A$5:$E$10,5,FALSE)</f>
        <v/>
      </c>
    </row>
    <row r="635">
      <c r="A635" s="21" t="inlineStr">
        <is>
          <t>INV-10797</t>
        </is>
      </c>
      <c r="B635" s="22" t="n">
        <v>45855</v>
      </c>
      <c r="C635" s="21" t="inlineStr">
        <is>
          <t>R02</t>
        </is>
      </c>
      <c r="D635" s="21" t="inlineStr">
        <is>
          <t>P100</t>
        </is>
      </c>
      <c r="E635" s="21" t="n">
        <v>19</v>
      </c>
      <c r="F635" s="23" t="n">
        <v>0</v>
      </c>
      <c r="G635" s="24">
        <f>TEXT(B635,"mmm")</f>
        <v/>
      </c>
      <c r="H635" s="24">
        <f>HLOOKUP(C635,Lookups!$H$4:$K$5,2,FALSE)</f>
        <v/>
      </c>
      <c r="I635" s="24">
        <f>VLOOKUP(D635,Lookups!$A$5:$E$10,2,FALSE)</f>
        <v/>
      </c>
      <c r="J635" s="24">
        <f>VLOOKUP(D635,Lookups!$A$5:$E$10,3,FALSE)</f>
        <v/>
      </c>
      <c r="K635" s="25">
        <f>VLOOKUP(D635,Lookups!$A$5:$E$10,4,FALSE)</f>
        <v/>
      </c>
      <c r="L635" s="25">
        <f>E635*K635*(1-F635)</f>
        <v/>
      </c>
      <c r="M635" s="25">
        <f>L635*VLOOKUP(D635,Lookups!$A$5:$E$10,5,FALSE)</f>
        <v/>
      </c>
    </row>
    <row r="636">
      <c r="A636" s="21" t="inlineStr">
        <is>
          <t>INV-10988</t>
        </is>
      </c>
      <c r="B636" s="22" t="n">
        <v>45855</v>
      </c>
      <c r="C636" s="21" t="inlineStr">
        <is>
          <t>R01</t>
        </is>
      </c>
      <c r="D636" s="21" t="inlineStr">
        <is>
          <t>P200</t>
        </is>
      </c>
      <c r="E636" s="21" t="n">
        <v>1</v>
      </c>
      <c r="F636" s="23" t="n">
        <v>0</v>
      </c>
      <c r="G636" s="24">
        <f>TEXT(B636,"mmm")</f>
        <v/>
      </c>
      <c r="H636" s="24">
        <f>HLOOKUP(C636,Lookups!$H$4:$K$5,2,FALSE)</f>
        <v/>
      </c>
      <c r="I636" s="24">
        <f>VLOOKUP(D636,Lookups!$A$5:$E$10,2,FALSE)</f>
        <v/>
      </c>
      <c r="J636" s="24">
        <f>VLOOKUP(D636,Lookups!$A$5:$E$10,3,FALSE)</f>
        <v/>
      </c>
      <c r="K636" s="25">
        <f>VLOOKUP(D636,Lookups!$A$5:$E$10,4,FALSE)</f>
        <v/>
      </c>
      <c r="L636" s="25">
        <f>E636*K636*(1-F636)</f>
        <v/>
      </c>
      <c r="M636" s="25">
        <f>L636*VLOOKUP(D636,Lookups!$A$5:$E$10,5,FALSE)</f>
        <v/>
      </c>
    </row>
    <row r="637">
      <c r="A637" s="21" t="inlineStr">
        <is>
          <t>INV-10505</t>
        </is>
      </c>
      <c r="B637" s="22" t="n">
        <v>45856</v>
      </c>
      <c r="C637" s="21" t="inlineStr">
        <is>
          <t>R03</t>
        </is>
      </c>
      <c r="D637" s="21" t="inlineStr">
        <is>
          <t>P200</t>
        </is>
      </c>
      <c r="E637" s="21" t="n">
        <v>7</v>
      </c>
      <c r="F637" s="23" t="n">
        <v>0.05</v>
      </c>
      <c r="G637" s="24">
        <f>TEXT(B637,"mmm")</f>
        <v/>
      </c>
      <c r="H637" s="24">
        <f>HLOOKUP(C637,Lookups!$H$4:$K$5,2,FALSE)</f>
        <v/>
      </c>
      <c r="I637" s="24">
        <f>VLOOKUP(D637,Lookups!$A$5:$E$10,2,FALSE)</f>
        <v/>
      </c>
      <c r="J637" s="24">
        <f>VLOOKUP(D637,Lookups!$A$5:$E$10,3,FALSE)</f>
        <v/>
      </c>
      <c r="K637" s="25">
        <f>VLOOKUP(D637,Lookups!$A$5:$E$10,4,FALSE)</f>
        <v/>
      </c>
      <c r="L637" s="25">
        <f>E637*K637*(1-F637)</f>
        <v/>
      </c>
      <c r="M637" s="25">
        <f>L637*VLOOKUP(D637,Lookups!$A$5:$E$10,5,FALSE)</f>
        <v/>
      </c>
    </row>
    <row r="638">
      <c r="A638" s="21" t="inlineStr">
        <is>
          <t>INV-10657</t>
        </is>
      </c>
      <c r="B638" s="22" t="n">
        <v>45856</v>
      </c>
      <c r="C638" s="21" t="inlineStr">
        <is>
          <t>R04</t>
        </is>
      </c>
      <c r="D638" s="21" t="inlineStr">
        <is>
          <t>P500</t>
        </is>
      </c>
      <c r="E638" s="21" t="n">
        <v>12</v>
      </c>
      <c r="F638" s="23" t="n">
        <v>0</v>
      </c>
      <c r="G638" s="24">
        <f>TEXT(B638,"mmm")</f>
        <v/>
      </c>
      <c r="H638" s="24">
        <f>HLOOKUP(C638,Lookups!$H$4:$K$5,2,FALSE)</f>
        <v/>
      </c>
      <c r="I638" s="24">
        <f>VLOOKUP(D638,Lookups!$A$5:$E$10,2,FALSE)</f>
        <v/>
      </c>
      <c r="J638" s="24">
        <f>VLOOKUP(D638,Lookups!$A$5:$E$10,3,FALSE)</f>
        <v/>
      </c>
      <c r="K638" s="25">
        <f>VLOOKUP(D638,Lookups!$A$5:$E$10,4,FALSE)</f>
        <v/>
      </c>
      <c r="L638" s="25">
        <f>E638*K638*(1-F638)</f>
        <v/>
      </c>
      <c r="M638" s="25">
        <f>L638*VLOOKUP(D638,Lookups!$A$5:$E$10,5,FALSE)</f>
        <v/>
      </c>
    </row>
    <row r="639">
      <c r="A639" s="21" t="inlineStr">
        <is>
          <t>INV-10767</t>
        </is>
      </c>
      <c r="B639" s="22" t="n">
        <v>45856</v>
      </c>
      <c r="C639" s="21" t="inlineStr">
        <is>
          <t>R04</t>
        </is>
      </c>
      <c r="D639" s="21" t="inlineStr">
        <is>
          <t>P500</t>
        </is>
      </c>
      <c r="E639" s="21" t="n">
        <v>18</v>
      </c>
      <c r="F639" s="23" t="n">
        <v>0.1</v>
      </c>
      <c r="G639" s="24">
        <f>TEXT(B639,"mmm")</f>
        <v/>
      </c>
      <c r="H639" s="24">
        <f>HLOOKUP(C639,Lookups!$H$4:$K$5,2,FALSE)</f>
        <v/>
      </c>
      <c r="I639" s="24">
        <f>VLOOKUP(D639,Lookups!$A$5:$E$10,2,FALSE)</f>
        <v/>
      </c>
      <c r="J639" s="24">
        <f>VLOOKUP(D639,Lookups!$A$5:$E$10,3,FALSE)</f>
        <v/>
      </c>
      <c r="K639" s="25">
        <f>VLOOKUP(D639,Lookups!$A$5:$E$10,4,FALSE)</f>
        <v/>
      </c>
      <c r="L639" s="25">
        <f>E639*K639*(1-F639)</f>
        <v/>
      </c>
      <c r="M639" s="25">
        <f>L639*VLOOKUP(D639,Lookups!$A$5:$E$10,5,FALSE)</f>
        <v/>
      </c>
    </row>
    <row r="640">
      <c r="A640" s="21" t="inlineStr">
        <is>
          <t>INV-10969</t>
        </is>
      </c>
      <c r="B640" s="22" t="n">
        <v>45856</v>
      </c>
      <c r="C640" s="21" t="inlineStr">
        <is>
          <t>R04</t>
        </is>
      </c>
      <c r="D640" s="21" t="inlineStr">
        <is>
          <t>P400</t>
        </is>
      </c>
      <c r="E640" s="21" t="n">
        <v>2</v>
      </c>
      <c r="F640" s="23" t="n">
        <v>0</v>
      </c>
      <c r="G640" s="24">
        <f>TEXT(B640,"mmm")</f>
        <v/>
      </c>
      <c r="H640" s="24">
        <f>HLOOKUP(C640,Lookups!$H$4:$K$5,2,FALSE)</f>
        <v/>
      </c>
      <c r="I640" s="24">
        <f>VLOOKUP(D640,Lookups!$A$5:$E$10,2,FALSE)</f>
        <v/>
      </c>
      <c r="J640" s="24">
        <f>VLOOKUP(D640,Lookups!$A$5:$E$10,3,FALSE)</f>
        <v/>
      </c>
      <c r="K640" s="25">
        <f>VLOOKUP(D640,Lookups!$A$5:$E$10,4,FALSE)</f>
        <v/>
      </c>
      <c r="L640" s="25">
        <f>E640*K640*(1-F640)</f>
        <v/>
      </c>
      <c r="M640" s="25">
        <f>L640*VLOOKUP(D640,Lookups!$A$5:$E$10,5,FALSE)</f>
        <v/>
      </c>
    </row>
    <row r="641">
      <c r="A641" s="21" t="inlineStr">
        <is>
          <t>INV-10355</t>
        </is>
      </c>
      <c r="B641" s="22" t="n">
        <v>45857</v>
      </c>
      <c r="C641" s="21" t="inlineStr">
        <is>
          <t>R01</t>
        </is>
      </c>
      <c r="D641" s="21" t="inlineStr">
        <is>
          <t>P400</t>
        </is>
      </c>
      <c r="E641" s="21" t="n">
        <v>21</v>
      </c>
      <c r="F641" s="23" t="n">
        <v>0.1</v>
      </c>
      <c r="G641" s="24">
        <f>TEXT(B641,"mmm")</f>
        <v/>
      </c>
      <c r="H641" s="24">
        <f>HLOOKUP(C641,Lookups!$H$4:$K$5,2,FALSE)</f>
        <v/>
      </c>
      <c r="I641" s="24">
        <f>VLOOKUP(D641,Lookups!$A$5:$E$10,2,FALSE)</f>
        <v/>
      </c>
      <c r="J641" s="24">
        <f>VLOOKUP(D641,Lookups!$A$5:$E$10,3,FALSE)</f>
        <v/>
      </c>
      <c r="K641" s="25">
        <f>VLOOKUP(D641,Lookups!$A$5:$E$10,4,FALSE)</f>
        <v/>
      </c>
      <c r="L641" s="25">
        <f>E641*K641*(1-F641)</f>
        <v/>
      </c>
      <c r="M641" s="25">
        <f>L641*VLOOKUP(D641,Lookups!$A$5:$E$10,5,FALSE)</f>
        <v/>
      </c>
    </row>
    <row r="642">
      <c r="A642" s="21" t="inlineStr">
        <is>
          <t>INV-10593</t>
        </is>
      </c>
      <c r="B642" s="22" t="n">
        <v>45857</v>
      </c>
      <c r="C642" s="21" t="inlineStr">
        <is>
          <t>R02</t>
        </is>
      </c>
      <c r="D642" s="21" t="inlineStr">
        <is>
          <t>P100</t>
        </is>
      </c>
      <c r="E642" s="21" t="n">
        <v>7</v>
      </c>
      <c r="F642" s="23" t="n">
        <v>0.05</v>
      </c>
      <c r="G642" s="24">
        <f>TEXT(B642,"mmm")</f>
        <v/>
      </c>
      <c r="H642" s="24">
        <f>HLOOKUP(C642,Lookups!$H$4:$K$5,2,FALSE)</f>
        <v/>
      </c>
      <c r="I642" s="24">
        <f>VLOOKUP(D642,Lookups!$A$5:$E$10,2,FALSE)</f>
        <v/>
      </c>
      <c r="J642" s="24">
        <f>VLOOKUP(D642,Lookups!$A$5:$E$10,3,FALSE)</f>
        <v/>
      </c>
      <c r="K642" s="25">
        <f>VLOOKUP(D642,Lookups!$A$5:$E$10,4,FALSE)</f>
        <v/>
      </c>
      <c r="L642" s="25">
        <f>E642*K642*(1-F642)</f>
        <v/>
      </c>
      <c r="M642" s="25">
        <f>L642*VLOOKUP(D642,Lookups!$A$5:$E$10,5,FALSE)</f>
        <v/>
      </c>
    </row>
    <row r="643">
      <c r="A643" s="21" t="inlineStr">
        <is>
          <t>INV-10582</t>
        </is>
      </c>
      <c r="B643" s="22" t="n">
        <v>45858</v>
      </c>
      <c r="C643" s="21" t="inlineStr">
        <is>
          <t>R02</t>
        </is>
      </c>
      <c r="D643" s="21" t="inlineStr">
        <is>
          <t>P400</t>
        </is>
      </c>
      <c r="E643" s="21" t="n">
        <v>12</v>
      </c>
      <c r="F643" s="23" t="n">
        <v>0</v>
      </c>
      <c r="G643" s="24">
        <f>TEXT(B643,"mmm")</f>
        <v/>
      </c>
      <c r="H643" s="24">
        <f>HLOOKUP(C643,Lookups!$H$4:$K$5,2,FALSE)</f>
        <v/>
      </c>
      <c r="I643" s="24">
        <f>VLOOKUP(D643,Lookups!$A$5:$E$10,2,FALSE)</f>
        <v/>
      </c>
      <c r="J643" s="24">
        <f>VLOOKUP(D643,Lookups!$A$5:$E$10,3,FALSE)</f>
        <v/>
      </c>
      <c r="K643" s="25">
        <f>VLOOKUP(D643,Lookups!$A$5:$E$10,4,FALSE)</f>
        <v/>
      </c>
      <c r="L643" s="25">
        <f>E643*K643*(1-F643)</f>
        <v/>
      </c>
      <c r="M643" s="25">
        <f>L643*VLOOKUP(D643,Lookups!$A$5:$E$10,5,FALSE)</f>
        <v/>
      </c>
    </row>
    <row r="644">
      <c r="A644" s="21" t="inlineStr">
        <is>
          <t>INV-10654</t>
        </is>
      </c>
      <c r="B644" s="22" t="n">
        <v>45858</v>
      </c>
      <c r="C644" s="21" t="inlineStr">
        <is>
          <t>R01</t>
        </is>
      </c>
      <c r="D644" s="21" t="inlineStr">
        <is>
          <t>P300</t>
        </is>
      </c>
      <c r="E644" s="21" t="n">
        <v>8</v>
      </c>
      <c r="F644" s="23" t="n">
        <v>0.1</v>
      </c>
      <c r="G644" s="24">
        <f>TEXT(B644,"mmm")</f>
        <v/>
      </c>
      <c r="H644" s="24">
        <f>HLOOKUP(C644,Lookups!$H$4:$K$5,2,FALSE)</f>
        <v/>
      </c>
      <c r="I644" s="24">
        <f>VLOOKUP(D644,Lookups!$A$5:$E$10,2,FALSE)</f>
        <v/>
      </c>
      <c r="J644" s="24">
        <f>VLOOKUP(D644,Lookups!$A$5:$E$10,3,FALSE)</f>
        <v/>
      </c>
      <c r="K644" s="25">
        <f>VLOOKUP(D644,Lookups!$A$5:$E$10,4,FALSE)</f>
        <v/>
      </c>
      <c r="L644" s="25">
        <f>E644*K644*(1-F644)</f>
        <v/>
      </c>
      <c r="M644" s="25">
        <f>L644*VLOOKUP(D644,Lookups!$A$5:$E$10,5,FALSE)</f>
        <v/>
      </c>
    </row>
    <row r="645">
      <c r="A645" s="21" t="inlineStr">
        <is>
          <t>INV-10422</t>
        </is>
      </c>
      <c r="B645" s="22" t="n">
        <v>45859</v>
      </c>
      <c r="C645" s="21" t="inlineStr">
        <is>
          <t>R03</t>
        </is>
      </c>
      <c r="D645" s="21" t="inlineStr">
        <is>
          <t>P300</t>
        </is>
      </c>
      <c r="E645" s="21" t="n">
        <v>18</v>
      </c>
      <c r="F645" s="23" t="n">
        <v>0.05</v>
      </c>
      <c r="G645" s="24">
        <f>TEXT(B645,"mmm")</f>
        <v/>
      </c>
      <c r="H645" s="24">
        <f>HLOOKUP(C645,Lookups!$H$4:$K$5,2,FALSE)</f>
        <v/>
      </c>
      <c r="I645" s="24">
        <f>VLOOKUP(D645,Lookups!$A$5:$E$10,2,FALSE)</f>
        <v/>
      </c>
      <c r="J645" s="24">
        <f>VLOOKUP(D645,Lookups!$A$5:$E$10,3,FALSE)</f>
        <v/>
      </c>
      <c r="K645" s="25">
        <f>VLOOKUP(D645,Lookups!$A$5:$E$10,4,FALSE)</f>
        <v/>
      </c>
      <c r="L645" s="25">
        <f>E645*K645*(1-F645)</f>
        <v/>
      </c>
      <c r="M645" s="25">
        <f>L645*VLOOKUP(D645,Lookups!$A$5:$E$10,5,FALSE)</f>
        <v/>
      </c>
    </row>
    <row r="646">
      <c r="A646" s="21" t="inlineStr">
        <is>
          <t>INV-10569</t>
        </is>
      </c>
      <c r="B646" s="22" t="n">
        <v>45859</v>
      </c>
      <c r="C646" s="21" t="inlineStr">
        <is>
          <t>R01</t>
        </is>
      </c>
      <c r="D646" s="21" t="inlineStr">
        <is>
          <t>P300</t>
        </is>
      </c>
      <c r="E646" s="21" t="n">
        <v>19</v>
      </c>
      <c r="F646" s="23" t="n">
        <v>0</v>
      </c>
      <c r="G646" s="24">
        <f>TEXT(B646,"mmm")</f>
        <v/>
      </c>
      <c r="H646" s="24">
        <f>HLOOKUP(C646,Lookups!$H$4:$K$5,2,FALSE)</f>
        <v/>
      </c>
      <c r="I646" s="24">
        <f>VLOOKUP(D646,Lookups!$A$5:$E$10,2,FALSE)</f>
        <v/>
      </c>
      <c r="J646" s="24">
        <f>VLOOKUP(D646,Lookups!$A$5:$E$10,3,FALSE)</f>
        <v/>
      </c>
      <c r="K646" s="25">
        <f>VLOOKUP(D646,Lookups!$A$5:$E$10,4,FALSE)</f>
        <v/>
      </c>
      <c r="L646" s="25">
        <f>E646*K646*(1-F646)</f>
        <v/>
      </c>
      <c r="M646" s="25">
        <f>L646*VLOOKUP(D646,Lookups!$A$5:$E$10,5,FALSE)</f>
        <v/>
      </c>
    </row>
    <row r="647">
      <c r="A647" s="21" t="inlineStr">
        <is>
          <t>INV-10885</t>
        </is>
      </c>
      <c r="B647" s="22" t="n">
        <v>45859</v>
      </c>
      <c r="C647" s="21" t="inlineStr">
        <is>
          <t>R04</t>
        </is>
      </c>
      <c r="D647" s="21" t="inlineStr">
        <is>
          <t>P200</t>
        </is>
      </c>
      <c r="E647" s="21" t="n">
        <v>7</v>
      </c>
      <c r="F647" s="23" t="n">
        <v>0.05</v>
      </c>
      <c r="G647" s="24">
        <f>TEXT(B647,"mmm")</f>
        <v/>
      </c>
      <c r="H647" s="24">
        <f>HLOOKUP(C647,Lookups!$H$4:$K$5,2,FALSE)</f>
        <v/>
      </c>
      <c r="I647" s="24">
        <f>VLOOKUP(D647,Lookups!$A$5:$E$10,2,FALSE)</f>
        <v/>
      </c>
      <c r="J647" s="24">
        <f>VLOOKUP(D647,Lookups!$A$5:$E$10,3,FALSE)</f>
        <v/>
      </c>
      <c r="K647" s="25">
        <f>VLOOKUP(D647,Lookups!$A$5:$E$10,4,FALSE)</f>
        <v/>
      </c>
      <c r="L647" s="25">
        <f>E647*K647*(1-F647)</f>
        <v/>
      </c>
      <c r="M647" s="25">
        <f>L647*VLOOKUP(D647,Lookups!$A$5:$E$10,5,FALSE)</f>
        <v/>
      </c>
    </row>
    <row r="648">
      <c r="A648" s="21" t="inlineStr">
        <is>
          <t>INV-11040</t>
        </is>
      </c>
      <c r="B648" s="22" t="n">
        <v>45859</v>
      </c>
      <c r="C648" s="21" t="inlineStr">
        <is>
          <t>R02</t>
        </is>
      </c>
      <c r="D648" s="21" t="inlineStr">
        <is>
          <t>P600</t>
        </is>
      </c>
      <c r="E648" s="21" t="n">
        <v>15</v>
      </c>
      <c r="F648" s="23" t="n">
        <v>0</v>
      </c>
      <c r="G648" s="24">
        <f>TEXT(B648,"mmm")</f>
        <v/>
      </c>
      <c r="H648" s="24">
        <f>HLOOKUP(C648,Lookups!$H$4:$K$5,2,FALSE)</f>
        <v/>
      </c>
      <c r="I648" s="24">
        <f>VLOOKUP(D648,Lookups!$A$5:$E$10,2,FALSE)</f>
        <v/>
      </c>
      <c r="J648" s="24">
        <f>VLOOKUP(D648,Lookups!$A$5:$E$10,3,FALSE)</f>
        <v/>
      </c>
      <c r="K648" s="25">
        <f>VLOOKUP(D648,Lookups!$A$5:$E$10,4,FALSE)</f>
        <v/>
      </c>
      <c r="L648" s="25">
        <f>E648*K648*(1-F648)</f>
        <v/>
      </c>
      <c r="M648" s="25">
        <f>L648*VLOOKUP(D648,Lookups!$A$5:$E$10,5,FALSE)</f>
        <v/>
      </c>
    </row>
    <row r="649">
      <c r="A649" s="21" t="inlineStr">
        <is>
          <t>INV-11189</t>
        </is>
      </c>
      <c r="B649" s="22" t="n">
        <v>45859</v>
      </c>
      <c r="C649" s="21" t="inlineStr">
        <is>
          <t>R02</t>
        </is>
      </c>
      <c r="D649" s="21" t="inlineStr">
        <is>
          <t>P600</t>
        </is>
      </c>
      <c r="E649" s="21" t="n">
        <v>3</v>
      </c>
      <c r="F649" s="23" t="n">
        <v>0.1</v>
      </c>
      <c r="G649" s="24">
        <f>TEXT(B649,"mmm")</f>
        <v/>
      </c>
      <c r="H649" s="24">
        <f>HLOOKUP(C649,Lookups!$H$4:$K$5,2,FALSE)</f>
        <v/>
      </c>
      <c r="I649" s="24">
        <f>VLOOKUP(D649,Lookups!$A$5:$E$10,2,FALSE)</f>
        <v/>
      </c>
      <c r="J649" s="24">
        <f>VLOOKUP(D649,Lookups!$A$5:$E$10,3,FALSE)</f>
        <v/>
      </c>
      <c r="K649" s="25">
        <f>VLOOKUP(D649,Lookups!$A$5:$E$10,4,FALSE)</f>
        <v/>
      </c>
      <c r="L649" s="25">
        <f>E649*K649*(1-F649)</f>
        <v/>
      </c>
      <c r="M649" s="25">
        <f>L649*VLOOKUP(D649,Lookups!$A$5:$E$10,5,FALSE)</f>
        <v/>
      </c>
    </row>
    <row r="650">
      <c r="A650" s="21" t="inlineStr">
        <is>
          <t>INV-10021</t>
        </is>
      </c>
      <c r="B650" s="22" t="n">
        <v>45860</v>
      </c>
      <c r="C650" s="21" t="inlineStr">
        <is>
          <t>R04</t>
        </is>
      </c>
      <c r="D650" s="21" t="inlineStr">
        <is>
          <t>P600</t>
        </is>
      </c>
      <c r="E650" s="21" t="n">
        <v>5</v>
      </c>
      <c r="F650" s="23" t="n">
        <v>0.05</v>
      </c>
      <c r="G650" s="24">
        <f>TEXT(B650,"mmm")</f>
        <v/>
      </c>
      <c r="H650" s="24">
        <f>HLOOKUP(C650,Lookups!$H$4:$K$5,2,FALSE)</f>
        <v/>
      </c>
      <c r="I650" s="24">
        <f>VLOOKUP(D650,Lookups!$A$5:$E$10,2,FALSE)</f>
        <v/>
      </c>
      <c r="J650" s="24">
        <f>VLOOKUP(D650,Lookups!$A$5:$E$10,3,FALSE)</f>
        <v/>
      </c>
      <c r="K650" s="25">
        <f>VLOOKUP(D650,Lookups!$A$5:$E$10,4,FALSE)</f>
        <v/>
      </c>
      <c r="L650" s="25">
        <f>E650*K650*(1-F650)</f>
        <v/>
      </c>
      <c r="M650" s="25">
        <f>L650*VLOOKUP(D650,Lookups!$A$5:$E$10,5,FALSE)</f>
        <v/>
      </c>
    </row>
    <row r="651">
      <c r="A651" s="21" t="inlineStr">
        <is>
          <t>INV-10064</t>
        </is>
      </c>
      <c r="B651" s="22" t="n">
        <v>45860</v>
      </c>
      <c r="C651" s="21" t="inlineStr">
        <is>
          <t>R03</t>
        </is>
      </c>
      <c r="D651" s="21" t="inlineStr">
        <is>
          <t>P200</t>
        </is>
      </c>
      <c r="E651" s="21" t="n">
        <v>15</v>
      </c>
      <c r="F651" s="23" t="n">
        <v>0.05</v>
      </c>
      <c r="G651" s="24">
        <f>TEXT(B651,"mmm")</f>
        <v/>
      </c>
      <c r="H651" s="24">
        <f>HLOOKUP(C651,Lookups!$H$4:$K$5,2,FALSE)</f>
        <v/>
      </c>
      <c r="I651" s="24">
        <f>VLOOKUP(D651,Lookups!$A$5:$E$10,2,FALSE)</f>
        <v/>
      </c>
      <c r="J651" s="24">
        <f>VLOOKUP(D651,Lookups!$A$5:$E$10,3,FALSE)</f>
        <v/>
      </c>
      <c r="K651" s="25">
        <f>VLOOKUP(D651,Lookups!$A$5:$E$10,4,FALSE)</f>
        <v/>
      </c>
      <c r="L651" s="25">
        <f>E651*K651*(1-F651)</f>
        <v/>
      </c>
      <c r="M651" s="25">
        <f>L651*VLOOKUP(D651,Lookups!$A$5:$E$10,5,FALSE)</f>
        <v/>
      </c>
    </row>
    <row r="652">
      <c r="A652" s="21" t="inlineStr">
        <is>
          <t>INV-10302</t>
        </is>
      </c>
      <c r="B652" s="22" t="n">
        <v>45860</v>
      </c>
      <c r="C652" s="21" t="inlineStr">
        <is>
          <t>R03</t>
        </is>
      </c>
      <c r="D652" s="21" t="inlineStr">
        <is>
          <t>P300</t>
        </is>
      </c>
      <c r="E652" s="21" t="n">
        <v>8</v>
      </c>
      <c r="F652" s="23" t="n">
        <v>0.05</v>
      </c>
      <c r="G652" s="24">
        <f>TEXT(B652,"mmm")</f>
        <v/>
      </c>
      <c r="H652" s="24">
        <f>HLOOKUP(C652,Lookups!$H$4:$K$5,2,FALSE)</f>
        <v/>
      </c>
      <c r="I652" s="24">
        <f>VLOOKUP(D652,Lookups!$A$5:$E$10,2,FALSE)</f>
        <v/>
      </c>
      <c r="J652" s="24">
        <f>VLOOKUP(D652,Lookups!$A$5:$E$10,3,FALSE)</f>
        <v/>
      </c>
      <c r="K652" s="25">
        <f>VLOOKUP(D652,Lookups!$A$5:$E$10,4,FALSE)</f>
        <v/>
      </c>
      <c r="L652" s="25">
        <f>E652*K652*(1-F652)</f>
        <v/>
      </c>
      <c r="M652" s="25">
        <f>L652*VLOOKUP(D652,Lookups!$A$5:$E$10,5,FALSE)</f>
        <v/>
      </c>
    </row>
    <row r="653">
      <c r="A653" s="21" t="inlineStr">
        <is>
          <t>INV-10342</t>
        </is>
      </c>
      <c r="B653" s="22" t="n">
        <v>45860</v>
      </c>
      <c r="C653" s="21" t="inlineStr">
        <is>
          <t>R03</t>
        </is>
      </c>
      <c r="D653" s="21" t="inlineStr">
        <is>
          <t>P500</t>
        </is>
      </c>
      <c r="E653" s="21" t="n">
        <v>8</v>
      </c>
      <c r="F653" s="23" t="n">
        <v>0.1</v>
      </c>
      <c r="G653" s="24">
        <f>TEXT(B653,"mmm")</f>
        <v/>
      </c>
      <c r="H653" s="24">
        <f>HLOOKUP(C653,Lookups!$H$4:$K$5,2,FALSE)</f>
        <v/>
      </c>
      <c r="I653" s="24">
        <f>VLOOKUP(D653,Lookups!$A$5:$E$10,2,FALSE)</f>
        <v/>
      </c>
      <c r="J653" s="24">
        <f>VLOOKUP(D653,Lookups!$A$5:$E$10,3,FALSE)</f>
        <v/>
      </c>
      <c r="K653" s="25">
        <f>VLOOKUP(D653,Lookups!$A$5:$E$10,4,FALSE)</f>
        <v/>
      </c>
      <c r="L653" s="25">
        <f>E653*K653*(1-F653)</f>
        <v/>
      </c>
      <c r="M653" s="25">
        <f>L653*VLOOKUP(D653,Lookups!$A$5:$E$10,5,FALSE)</f>
        <v/>
      </c>
    </row>
    <row r="654">
      <c r="A654" s="21" t="inlineStr">
        <is>
          <t>INV-10592</t>
        </is>
      </c>
      <c r="B654" s="22" t="n">
        <v>45860</v>
      </c>
      <c r="C654" s="21" t="inlineStr">
        <is>
          <t>R02</t>
        </is>
      </c>
      <c r="D654" s="21" t="inlineStr">
        <is>
          <t>P100</t>
        </is>
      </c>
      <c r="E654" s="21" t="n">
        <v>15</v>
      </c>
      <c r="F654" s="23" t="n">
        <v>0.1</v>
      </c>
      <c r="G654" s="24">
        <f>TEXT(B654,"mmm")</f>
        <v/>
      </c>
      <c r="H654" s="24">
        <f>HLOOKUP(C654,Lookups!$H$4:$K$5,2,FALSE)</f>
        <v/>
      </c>
      <c r="I654" s="24">
        <f>VLOOKUP(D654,Lookups!$A$5:$E$10,2,FALSE)</f>
        <v/>
      </c>
      <c r="J654" s="24">
        <f>VLOOKUP(D654,Lookups!$A$5:$E$10,3,FALSE)</f>
        <v/>
      </c>
      <c r="K654" s="25">
        <f>VLOOKUP(D654,Lookups!$A$5:$E$10,4,FALSE)</f>
        <v/>
      </c>
      <c r="L654" s="25">
        <f>E654*K654*(1-F654)</f>
        <v/>
      </c>
      <c r="M654" s="25">
        <f>L654*VLOOKUP(D654,Lookups!$A$5:$E$10,5,FALSE)</f>
        <v/>
      </c>
    </row>
    <row r="655">
      <c r="A655" s="21" t="inlineStr">
        <is>
          <t>INV-10711</t>
        </is>
      </c>
      <c r="B655" s="22" t="n">
        <v>45860</v>
      </c>
      <c r="C655" s="21" t="inlineStr">
        <is>
          <t>R01</t>
        </is>
      </c>
      <c r="D655" s="21" t="inlineStr">
        <is>
          <t>P400</t>
        </is>
      </c>
      <c r="E655" s="21" t="n">
        <v>13</v>
      </c>
      <c r="F655" s="23" t="n">
        <v>0.1</v>
      </c>
      <c r="G655" s="24">
        <f>TEXT(B655,"mmm")</f>
        <v/>
      </c>
      <c r="H655" s="24">
        <f>HLOOKUP(C655,Lookups!$H$4:$K$5,2,FALSE)</f>
        <v/>
      </c>
      <c r="I655" s="24">
        <f>VLOOKUP(D655,Lookups!$A$5:$E$10,2,FALSE)</f>
        <v/>
      </c>
      <c r="J655" s="24">
        <f>VLOOKUP(D655,Lookups!$A$5:$E$10,3,FALSE)</f>
        <v/>
      </c>
      <c r="K655" s="25">
        <f>VLOOKUP(D655,Lookups!$A$5:$E$10,4,FALSE)</f>
        <v/>
      </c>
      <c r="L655" s="25">
        <f>E655*K655*(1-F655)</f>
        <v/>
      </c>
      <c r="M655" s="25">
        <f>L655*VLOOKUP(D655,Lookups!$A$5:$E$10,5,FALSE)</f>
        <v/>
      </c>
    </row>
    <row r="656">
      <c r="A656" s="21" t="inlineStr">
        <is>
          <t>INV-10769</t>
        </is>
      </c>
      <c r="B656" s="22" t="n">
        <v>45860</v>
      </c>
      <c r="C656" s="21" t="inlineStr">
        <is>
          <t>R01</t>
        </is>
      </c>
      <c r="D656" s="21" t="inlineStr">
        <is>
          <t>P600</t>
        </is>
      </c>
      <c r="E656" s="21" t="n">
        <v>17</v>
      </c>
      <c r="F656" s="23" t="n">
        <v>0</v>
      </c>
      <c r="G656" s="24">
        <f>TEXT(B656,"mmm")</f>
        <v/>
      </c>
      <c r="H656" s="24">
        <f>HLOOKUP(C656,Lookups!$H$4:$K$5,2,FALSE)</f>
        <v/>
      </c>
      <c r="I656" s="24">
        <f>VLOOKUP(D656,Lookups!$A$5:$E$10,2,FALSE)</f>
        <v/>
      </c>
      <c r="J656" s="24">
        <f>VLOOKUP(D656,Lookups!$A$5:$E$10,3,FALSE)</f>
        <v/>
      </c>
      <c r="K656" s="25">
        <f>VLOOKUP(D656,Lookups!$A$5:$E$10,4,FALSE)</f>
        <v/>
      </c>
      <c r="L656" s="25">
        <f>E656*K656*(1-F656)</f>
        <v/>
      </c>
      <c r="M656" s="25">
        <f>L656*VLOOKUP(D656,Lookups!$A$5:$E$10,5,FALSE)</f>
        <v/>
      </c>
    </row>
    <row r="657">
      <c r="A657" s="21" t="inlineStr">
        <is>
          <t>INV-11106</t>
        </is>
      </c>
      <c r="B657" s="22" t="n">
        <v>45860</v>
      </c>
      <c r="C657" s="21" t="inlineStr">
        <is>
          <t>R01</t>
        </is>
      </c>
      <c r="D657" s="21" t="inlineStr">
        <is>
          <t>P200</t>
        </is>
      </c>
      <c r="E657" s="21" t="n">
        <v>2</v>
      </c>
      <c r="F657" s="23" t="n">
        <v>0.1</v>
      </c>
      <c r="G657" s="24">
        <f>TEXT(B657,"mmm")</f>
        <v/>
      </c>
      <c r="H657" s="24">
        <f>HLOOKUP(C657,Lookups!$H$4:$K$5,2,FALSE)</f>
        <v/>
      </c>
      <c r="I657" s="24">
        <f>VLOOKUP(D657,Lookups!$A$5:$E$10,2,FALSE)</f>
        <v/>
      </c>
      <c r="J657" s="24">
        <f>VLOOKUP(D657,Lookups!$A$5:$E$10,3,FALSE)</f>
        <v/>
      </c>
      <c r="K657" s="25">
        <f>VLOOKUP(D657,Lookups!$A$5:$E$10,4,FALSE)</f>
        <v/>
      </c>
      <c r="L657" s="25">
        <f>E657*K657*(1-F657)</f>
        <v/>
      </c>
      <c r="M657" s="25">
        <f>L657*VLOOKUP(D657,Lookups!$A$5:$E$10,5,FALSE)</f>
        <v/>
      </c>
    </row>
    <row r="658">
      <c r="A658" s="21" t="inlineStr">
        <is>
          <t>INV-10136</t>
        </is>
      </c>
      <c r="B658" s="22" t="n">
        <v>45861</v>
      </c>
      <c r="C658" s="21" t="inlineStr">
        <is>
          <t>R02</t>
        </is>
      </c>
      <c r="D658" s="21" t="inlineStr">
        <is>
          <t>P600</t>
        </is>
      </c>
      <c r="E658" s="21" t="n">
        <v>3</v>
      </c>
      <c r="F658" s="23" t="n">
        <v>0</v>
      </c>
      <c r="G658" s="24">
        <f>TEXT(B658,"mmm")</f>
        <v/>
      </c>
      <c r="H658" s="24">
        <f>HLOOKUP(C658,Lookups!$H$4:$K$5,2,FALSE)</f>
        <v/>
      </c>
      <c r="I658" s="24">
        <f>VLOOKUP(D658,Lookups!$A$5:$E$10,2,FALSE)</f>
        <v/>
      </c>
      <c r="J658" s="24">
        <f>VLOOKUP(D658,Lookups!$A$5:$E$10,3,FALSE)</f>
        <v/>
      </c>
      <c r="K658" s="25">
        <f>VLOOKUP(D658,Lookups!$A$5:$E$10,4,FALSE)</f>
        <v/>
      </c>
      <c r="L658" s="25">
        <f>E658*K658*(1-F658)</f>
        <v/>
      </c>
      <c r="M658" s="25">
        <f>L658*VLOOKUP(D658,Lookups!$A$5:$E$10,5,FALSE)</f>
        <v/>
      </c>
    </row>
    <row r="659">
      <c r="A659" s="21" t="inlineStr">
        <is>
          <t>INV-10512</t>
        </is>
      </c>
      <c r="B659" s="22" t="n">
        <v>45861</v>
      </c>
      <c r="C659" s="21" t="inlineStr">
        <is>
          <t>R03</t>
        </is>
      </c>
      <c r="D659" s="21" t="inlineStr">
        <is>
          <t>P200</t>
        </is>
      </c>
      <c r="E659" s="21" t="n">
        <v>25</v>
      </c>
      <c r="F659" s="23" t="n">
        <v>0.05</v>
      </c>
      <c r="G659" s="24">
        <f>TEXT(B659,"mmm")</f>
        <v/>
      </c>
      <c r="H659" s="24">
        <f>HLOOKUP(C659,Lookups!$H$4:$K$5,2,FALSE)</f>
        <v/>
      </c>
      <c r="I659" s="24">
        <f>VLOOKUP(D659,Lookups!$A$5:$E$10,2,FALSE)</f>
        <v/>
      </c>
      <c r="J659" s="24">
        <f>VLOOKUP(D659,Lookups!$A$5:$E$10,3,FALSE)</f>
        <v/>
      </c>
      <c r="K659" s="25">
        <f>VLOOKUP(D659,Lookups!$A$5:$E$10,4,FALSE)</f>
        <v/>
      </c>
      <c r="L659" s="25">
        <f>E659*K659*(1-F659)</f>
        <v/>
      </c>
      <c r="M659" s="25">
        <f>L659*VLOOKUP(D659,Lookups!$A$5:$E$10,5,FALSE)</f>
        <v/>
      </c>
    </row>
    <row r="660">
      <c r="A660" s="21" t="inlineStr">
        <is>
          <t>INV-10532</t>
        </is>
      </c>
      <c r="B660" s="22" t="n">
        <v>45861</v>
      </c>
      <c r="C660" s="21" t="inlineStr">
        <is>
          <t>R03</t>
        </is>
      </c>
      <c r="D660" s="21" t="inlineStr">
        <is>
          <t>P100</t>
        </is>
      </c>
      <c r="E660" s="21" t="n">
        <v>13</v>
      </c>
      <c r="F660" s="23" t="n">
        <v>0.1</v>
      </c>
      <c r="G660" s="24">
        <f>TEXT(B660,"mmm")</f>
        <v/>
      </c>
      <c r="H660" s="24">
        <f>HLOOKUP(C660,Lookups!$H$4:$K$5,2,FALSE)</f>
        <v/>
      </c>
      <c r="I660" s="24">
        <f>VLOOKUP(D660,Lookups!$A$5:$E$10,2,FALSE)</f>
        <v/>
      </c>
      <c r="J660" s="24">
        <f>VLOOKUP(D660,Lookups!$A$5:$E$10,3,FALSE)</f>
        <v/>
      </c>
      <c r="K660" s="25">
        <f>VLOOKUP(D660,Lookups!$A$5:$E$10,4,FALSE)</f>
        <v/>
      </c>
      <c r="L660" s="25">
        <f>E660*K660*(1-F660)</f>
        <v/>
      </c>
      <c r="M660" s="25">
        <f>L660*VLOOKUP(D660,Lookups!$A$5:$E$10,5,FALSE)</f>
        <v/>
      </c>
    </row>
    <row r="661">
      <c r="A661" s="21" t="inlineStr">
        <is>
          <t>INV-10660</t>
        </is>
      </c>
      <c r="B661" s="22" t="n">
        <v>45861</v>
      </c>
      <c r="C661" s="21" t="inlineStr">
        <is>
          <t>R03</t>
        </is>
      </c>
      <c r="D661" s="21" t="inlineStr">
        <is>
          <t>P500</t>
        </is>
      </c>
      <c r="E661" s="21" t="n">
        <v>21</v>
      </c>
      <c r="F661" s="23" t="n">
        <v>0.1</v>
      </c>
      <c r="G661" s="24">
        <f>TEXT(B661,"mmm")</f>
        <v/>
      </c>
      <c r="H661" s="24">
        <f>HLOOKUP(C661,Lookups!$H$4:$K$5,2,FALSE)</f>
        <v/>
      </c>
      <c r="I661" s="24">
        <f>VLOOKUP(D661,Lookups!$A$5:$E$10,2,FALSE)</f>
        <v/>
      </c>
      <c r="J661" s="24">
        <f>VLOOKUP(D661,Lookups!$A$5:$E$10,3,FALSE)</f>
        <v/>
      </c>
      <c r="K661" s="25">
        <f>VLOOKUP(D661,Lookups!$A$5:$E$10,4,FALSE)</f>
        <v/>
      </c>
      <c r="L661" s="25">
        <f>E661*K661*(1-F661)</f>
        <v/>
      </c>
      <c r="M661" s="25">
        <f>L661*VLOOKUP(D661,Lookups!$A$5:$E$10,5,FALSE)</f>
        <v/>
      </c>
    </row>
    <row r="662">
      <c r="A662" s="21" t="inlineStr">
        <is>
          <t>INV-11053</t>
        </is>
      </c>
      <c r="B662" s="22" t="n">
        <v>45861</v>
      </c>
      <c r="C662" s="21" t="inlineStr">
        <is>
          <t>R02</t>
        </is>
      </c>
      <c r="D662" s="21" t="inlineStr">
        <is>
          <t>P100</t>
        </is>
      </c>
      <c r="E662" s="21" t="n">
        <v>2</v>
      </c>
      <c r="F662" s="23" t="n">
        <v>0</v>
      </c>
      <c r="G662" s="24">
        <f>TEXT(B662,"mmm")</f>
        <v/>
      </c>
      <c r="H662" s="24">
        <f>HLOOKUP(C662,Lookups!$H$4:$K$5,2,FALSE)</f>
        <v/>
      </c>
      <c r="I662" s="24">
        <f>VLOOKUP(D662,Lookups!$A$5:$E$10,2,FALSE)</f>
        <v/>
      </c>
      <c r="J662" s="24">
        <f>VLOOKUP(D662,Lookups!$A$5:$E$10,3,FALSE)</f>
        <v/>
      </c>
      <c r="K662" s="25">
        <f>VLOOKUP(D662,Lookups!$A$5:$E$10,4,FALSE)</f>
        <v/>
      </c>
      <c r="L662" s="25">
        <f>E662*K662*(1-F662)</f>
        <v/>
      </c>
      <c r="M662" s="25">
        <f>L662*VLOOKUP(D662,Lookups!$A$5:$E$10,5,FALSE)</f>
        <v/>
      </c>
    </row>
    <row r="663">
      <c r="A663" s="21" t="inlineStr">
        <is>
          <t>INV-10039</t>
        </is>
      </c>
      <c r="B663" s="22" t="n">
        <v>45862</v>
      </c>
      <c r="C663" s="21" t="inlineStr">
        <is>
          <t>R03</t>
        </is>
      </c>
      <c r="D663" s="21" t="inlineStr">
        <is>
          <t>P600</t>
        </is>
      </c>
      <c r="E663" s="21" t="n">
        <v>15</v>
      </c>
      <c r="F663" s="23" t="n">
        <v>0.1</v>
      </c>
      <c r="G663" s="24">
        <f>TEXT(B663,"mmm")</f>
        <v/>
      </c>
      <c r="H663" s="24">
        <f>HLOOKUP(C663,Lookups!$H$4:$K$5,2,FALSE)</f>
        <v/>
      </c>
      <c r="I663" s="24">
        <f>VLOOKUP(D663,Lookups!$A$5:$E$10,2,FALSE)</f>
        <v/>
      </c>
      <c r="J663" s="24">
        <f>VLOOKUP(D663,Lookups!$A$5:$E$10,3,FALSE)</f>
        <v/>
      </c>
      <c r="K663" s="25">
        <f>VLOOKUP(D663,Lookups!$A$5:$E$10,4,FALSE)</f>
        <v/>
      </c>
      <c r="L663" s="25">
        <f>E663*K663*(1-F663)</f>
        <v/>
      </c>
      <c r="M663" s="25">
        <f>L663*VLOOKUP(D663,Lookups!$A$5:$E$10,5,FALSE)</f>
        <v/>
      </c>
    </row>
    <row r="664">
      <c r="A664" s="21" t="inlineStr">
        <is>
          <t>INV-10087</t>
        </is>
      </c>
      <c r="B664" s="22" t="n">
        <v>45862</v>
      </c>
      <c r="C664" s="21" t="inlineStr">
        <is>
          <t>R03</t>
        </is>
      </c>
      <c r="D664" s="21" t="inlineStr">
        <is>
          <t>P300</t>
        </is>
      </c>
      <c r="E664" s="21" t="n">
        <v>3</v>
      </c>
      <c r="F664" s="23" t="n">
        <v>0.05</v>
      </c>
      <c r="G664" s="24">
        <f>TEXT(B664,"mmm")</f>
        <v/>
      </c>
      <c r="H664" s="24">
        <f>HLOOKUP(C664,Lookups!$H$4:$K$5,2,FALSE)</f>
        <v/>
      </c>
      <c r="I664" s="24">
        <f>VLOOKUP(D664,Lookups!$A$5:$E$10,2,FALSE)</f>
        <v/>
      </c>
      <c r="J664" s="24">
        <f>VLOOKUP(D664,Lookups!$A$5:$E$10,3,FALSE)</f>
        <v/>
      </c>
      <c r="K664" s="25">
        <f>VLOOKUP(D664,Lookups!$A$5:$E$10,4,FALSE)</f>
        <v/>
      </c>
      <c r="L664" s="25">
        <f>E664*K664*(1-F664)</f>
        <v/>
      </c>
      <c r="M664" s="25">
        <f>L664*VLOOKUP(D664,Lookups!$A$5:$E$10,5,FALSE)</f>
        <v/>
      </c>
    </row>
    <row r="665">
      <c r="A665" s="21" t="inlineStr">
        <is>
          <t>INV-10859</t>
        </is>
      </c>
      <c r="B665" s="22" t="n">
        <v>45862</v>
      </c>
      <c r="C665" s="21" t="inlineStr">
        <is>
          <t>R03</t>
        </is>
      </c>
      <c r="D665" s="21" t="inlineStr">
        <is>
          <t>P400</t>
        </is>
      </c>
      <c r="E665" s="21" t="n">
        <v>13</v>
      </c>
      <c r="F665" s="23" t="n">
        <v>0.1</v>
      </c>
      <c r="G665" s="24">
        <f>TEXT(B665,"mmm")</f>
        <v/>
      </c>
      <c r="H665" s="24">
        <f>HLOOKUP(C665,Lookups!$H$4:$K$5,2,FALSE)</f>
        <v/>
      </c>
      <c r="I665" s="24">
        <f>VLOOKUP(D665,Lookups!$A$5:$E$10,2,FALSE)</f>
        <v/>
      </c>
      <c r="J665" s="24">
        <f>VLOOKUP(D665,Lookups!$A$5:$E$10,3,FALSE)</f>
        <v/>
      </c>
      <c r="K665" s="25">
        <f>VLOOKUP(D665,Lookups!$A$5:$E$10,4,FALSE)</f>
        <v/>
      </c>
      <c r="L665" s="25">
        <f>E665*K665*(1-F665)</f>
        <v/>
      </c>
      <c r="M665" s="25">
        <f>L665*VLOOKUP(D665,Lookups!$A$5:$E$10,5,FALSE)</f>
        <v/>
      </c>
    </row>
    <row r="666">
      <c r="A666" s="21" t="inlineStr">
        <is>
          <t>INV-11029</t>
        </is>
      </c>
      <c r="B666" s="22" t="n">
        <v>45862</v>
      </c>
      <c r="C666" s="21" t="inlineStr">
        <is>
          <t>R03</t>
        </is>
      </c>
      <c r="D666" s="21" t="inlineStr">
        <is>
          <t>P600</t>
        </is>
      </c>
      <c r="E666" s="21" t="n">
        <v>3</v>
      </c>
      <c r="F666" s="23" t="n">
        <v>0</v>
      </c>
      <c r="G666" s="24">
        <f>TEXT(B666,"mmm")</f>
        <v/>
      </c>
      <c r="H666" s="24">
        <f>HLOOKUP(C666,Lookups!$H$4:$K$5,2,FALSE)</f>
        <v/>
      </c>
      <c r="I666" s="24">
        <f>VLOOKUP(D666,Lookups!$A$5:$E$10,2,FALSE)</f>
        <v/>
      </c>
      <c r="J666" s="24">
        <f>VLOOKUP(D666,Lookups!$A$5:$E$10,3,FALSE)</f>
        <v/>
      </c>
      <c r="K666" s="25">
        <f>VLOOKUP(D666,Lookups!$A$5:$E$10,4,FALSE)</f>
        <v/>
      </c>
      <c r="L666" s="25">
        <f>E666*K666*(1-F666)</f>
        <v/>
      </c>
      <c r="M666" s="25">
        <f>L666*VLOOKUP(D666,Lookups!$A$5:$E$10,5,FALSE)</f>
        <v/>
      </c>
    </row>
    <row r="667">
      <c r="A667" s="21" t="inlineStr">
        <is>
          <t>INV-10061</t>
        </is>
      </c>
      <c r="B667" s="22" t="n">
        <v>45864</v>
      </c>
      <c r="C667" s="21" t="inlineStr">
        <is>
          <t>R02</t>
        </is>
      </c>
      <c r="D667" s="21" t="inlineStr">
        <is>
          <t>P100</t>
        </is>
      </c>
      <c r="E667" s="21" t="n">
        <v>19</v>
      </c>
      <c r="F667" s="23" t="n">
        <v>0</v>
      </c>
      <c r="G667" s="24">
        <f>TEXT(B667,"mmm")</f>
        <v/>
      </c>
      <c r="H667" s="24">
        <f>HLOOKUP(C667,Lookups!$H$4:$K$5,2,FALSE)</f>
        <v/>
      </c>
      <c r="I667" s="24">
        <f>VLOOKUP(D667,Lookups!$A$5:$E$10,2,FALSE)</f>
        <v/>
      </c>
      <c r="J667" s="24">
        <f>VLOOKUP(D667,Lookups!$A$5:$E$10,3,FALSE)</f>
        <v/>
      </c>
      <c r="K667" s="25">
        <f>VLOOKUP(D667,Lookups!$A$5:$E$10,4,FALSE)</f>
        <v/>
      </c>
      <c r="L667" s="25">
        <f>E667*K667*(1-F667)</f>
        <v/>
      </c>
      <c r="M667" s="25">
        <f>L667*VLOOKUP(D667,Lookups!$A$5:$E$10,5,FALSE)</f>
        <v/>
      </c>
    </row>
    <row r="668">
      <c r="A668" s="21" t="inlineStr">
        <is>
          <t>INV-10418</t>
        </is>
      </c>
      <c r="B668" s="22" t="n">
        <v>45864</v>
      </c>
      <c r="C668" s="21" t="inlineStr">
        <is>
          <t>R01</t>
        </is>
      </c>
      <c r="D668" s="21" t="inlineStr">
        <is>
          <t>P300</t>
        </is>
      </c>
      <c r="E668" s="21" t="n">
        <v>13</v>
      </c>
      <c r="F668" s="23" t="n">
        <v>0</v>
      </c>
      <c r="G668" s="24">
        <f>TEXT(B668,"mmm")</f>
        <v/>
      </c>
      <c r="H668" s="24">
        <f>HLOOKUP(C668,Lookups!$H$4:$K$5,2,FALSE)</f>
        <v/>
      </c>
      <c r="I668" s="24">
        <f>VLOOKUP(D668,Lookups!$A$5:$E$10,2,FALSE)</f>
        <v/>
      </c>
      <c r="J668" s="24">
        <f>VLOOKUP(D668,Lookups!$A$5:$E$10,3,FALSE)</f>
        <v/>
      </c>
      <c r="K668" s="25">
        <f>VLOOKUP(D668,Lookups!$A$5:$E$10,4,FALSE)</f>
        <v/>
      </c>
      <c r="L668" s="25">
        <f>E668*K668*(1-F668)</f>
        <v/>
      </c>
      <c r="M668" s="25">
        <f>L668*VLOOKUP(D668,Lookups!$A$5:$E$10,5,FALSE)</f>
        <v/>
      </c>
    </row>
    <row r="669">
      <c r="A669" s="21" t="inlineStr">
        <is>
          <t>INV-10627</t>
        </is>
      </c>
      <c r="B669" s="22" t="n">
        <v>45864</v>
      </c>
      <c r="C669" s="21" t="inlineStr">
        <is>
          <t>R03</t>
        </is>
      </c>
      <c r="D669" s="21" t="inlineStr">
        <is>
          <t>P500</t>
        </is>
      </c>
      <c r="E669" s="21" t="n">
        <v>23</v>
      </c>
      <c r="F669" s="23" t="n">
        <v>0.05</v>
      </c>
      <c r="G669" s="24">
        <f>TEXT(B669,"mmm")</f>
        <v/>
      </c>
      <c r="H669" s="24">
        <f>HLOOKUP(C669,Lookups!$H$4:$K$5,2,FALSE)</f>
        <v/>
      </c>
      <c r="I669" s="24">
        <f>VLOOKUP(D669,Lookups!$A$5:$E$10,2,FALSE)</f>
        <v/>
      </c>
      <c r="J669" s="24">
        <f>VLOOKUP(D669,Lookups!$A$5:$E$10,3,FALSE)</f>
        <v/>
      </c>
      <c r="K669" s="25">
        <f>VLOOKUP(D669,Lookups!$A$5:$E$10,4,FALSE)</f>
        <v/>
      </c>
      <c r="L669" s="25">
        <f>E669*K669*(1-F669)</f>
        <v/>
      </c>
      <c r="M669" s="25">
        <f>L669*VLOOKUP(D669,Lookups!$A$5:$E$10,5,FALSE)</f>
        <v/>
      </c>
    </row>
    <row r="670">
      <c r="A670" s="21" t="inlineStr">
        <is>
          <t>INV-10828</t>
        </is>
      </c>
      <c r="B670" s="22" t="n">
        <v>45864</v>
      </c>
      <c r="C670" s="21" t="inlineStr">
        <is>
          <t>R04</t>
        </is>
      </c>
      <c r="D670" s="21" t="inlineStr">
        <is>
          <t>P400</t>
        </is>
      </c>
      <c r="E670" s="21" t="n">
        <v>13</v>
      </c>
      <c r="F670" s="23" t="n">
        <v>0</v>
      </c>
      <c r="G670" s="24">
        <f>TEXT(B670,"mmm")</f>
        <v/>
      </c>
      <c r="H670" s="24">
        <f>HLOOKUP(C670,Lookups!$H$4:$K$5,2,FALSE)</f>
        <v/>
      </c>
      <c r="I670" s="24">
        <f>VLOOKUP(D670,Lookups!$A$5:$E$10,2,FALSE)</f>
        <v/>
      </c>
      <c r="J670" s="24">
        <f>VLOOKUP(D670,Lookups!$A$5:$E$10,3,FALSE)</f>
        <v/>
      </c>
      <c r="K670" s="25">
        <f>VLOOKUP(D670,Lookups!$A$5:$E$10,4,FALSE)</f>
        <v/>
      </c>
      <c r="L670" s="25">
        <f>E670*K670*(1-F670)</f>
        <v/>
      </c>
      <c r="M670" s="25">
        <f>L670*VLOOKUP(D670,Lookups!$A$5:$E$10,5,FALSE)</f>
        <v/>
      </c>
    </row>
    <row r="671">
      <c r="A671" s="21" t="inlineStr">
        <is>
          <t>INV-10098</t>
        </is>
      </c>
      <c r="B671" s="22" t="n">
        <v>45865</v>
      </c>
      <c r="C671" s="21" t="inlineStr">
        <is>
          <t>R01</t>
        </is>
      </c>
      <c r="D671" s="21" t="inlineStr">
        <is>
          <t>P500</t>
        </is>
      </c>
      <c r="E671" s="21" t="n">
        <v>10</v>
      </c>
      <c r="F671" s="23" t="n">
        <v>0.05</v>
      </c>
      <c r="G671" s="24">
        <f>TEXT(B671,"mmm")</f>
        <v/>
      </c>
      <c r="H671" s="24">
        <f>HLOOKUP(C671,Lookups!$H$4:$K$5,2,FALSE)</f>
        <v/>
      </c>
      <c r="I671" s="24">
        <f>VLOOKUP(D671,Lookups!$A$5:$E$10,2,FALSE)</f>
        <v/>
      </c>
      <c r="J671" s="24">
        <f>VLOOKUP(D671,Lookups!$A$5:$E$10,3,FALSE)</f>
        <v/>
      </c>
      <c r="K671" s="25">
        <f>VLOOKUP(D671,Lookups!$A$5:$E$10,4,FALSE)</f>
        <v/>
      </c>
      <c r="L671" s="25">
        <f>E671*K671*(1-F671)</f>
        <v/>
      </c>
      <c r="M671" s="25">
        <f>L671*VLOOKUP(D671,Lookups!$A$5:$E$10,5,FALSE)</f>
        <v/>
      </c>
    </row>
    <row r="672">
      <c r="A672" s="21" t="inlineStr">
        <is>
          <t>INV-10299</t>
        </is>
      </c>
      <c r="B672" s="22" t="n">
        <v>45865</v>
      </c>
      <c r="C672" s="21" t="inlineStr">
        <is>
          <t>R03</t>
        </is>
      </c>
      <c r="D672" s="21" t="inlineStr">
        <is>
          <t>P100</t>
        </is>
      </c>
      <c r="E672" s="21" t="n">
        <v>6</v>
      </c>
      <c r="F672" s="23" t="n">
        <v>0.1</v>
      </c>
      <c r="G672" s="24">
        <f>TEXT(B672,"mmm")</f>
        <v/>
      </c>
      <c r="H672" s="24">
        <f>HLOOKUP(C672,Lookups!$H$4:$K$5,2,FALSE)</f>
        <v/>
      </c>
      <c r="I672" s="24">
        <f>VLOOKUP(D672,Lookups!$A$5:$E$10,2,FALSE)</f>
        <v/>
      </c>
      <c r="J672" s="24">
        <f>VLOOKUP(D672,Lookups!$A$5:$E$10,3,FALSE)</f>
        <v/>
      </c>
      <c r="K672" s="25">
        <f>VLOOKUP(D672,Lookups!$A$5:$E$10,4,FALSE)</f>
        <v/>
      </c>
      <c r="L672" s="25">
        <f>E672*K672*(1-F672)</f>
        <v/>
      </c>
      <c r="M672" s="25">
        <f>L672*VLOOKUP(D672,Lookups!$A$5:$E$10,5,FALSE)</f>
        <v/>
      </c>
    </row>
    <row r="673">
      <c r="A673" s="21" t="inlineStr">
        <is>
          <t>INV-10591</t>
        </is>
      </c>
      <c r="B673" s="22" t="n">
        <v>45865</v>
      </c>
      <c r="C673" s="21" t="inlineStr">
        <is>
          <t>R02</t>
        </is>
      </c>
      <c r="D673" s="21" t="inlineStr">
        <is>
          <t>P600</t>
        </is>
      </c>
      <c r="E673" s="21" t="n">
        <v>6</v>
      </c>
      <c r="F673" s="23" t="n">
        <v>0.1</v>
      </c>
      <c r="G673" s="24">
        <f>TEXT(B673,"mmm")</f>
        <v/>
      </c>
      <c r="H673" s="24">
        <f>HLOOKUP(C673,Lookups!$H$4:$K$5,2,FALSE)</f>
        <v/>
      </c>
      <c r="I673" s="24">
        <f>VLOOKUP(D673,Lookups!$A$5:$E$10,2,FALSE)</f>
        <v/>
      </c>
      <c r="J673" s="24">
        <f>VLOOKUP(D673,Lookups!$A$5:$E$10,3,FALSE)</f>
        <v/>
      </c>
      <c r="K673" s="25">
        <f>VLOOKUP(D673,Lookups!$A$5:$E$10,4,FALSE)</f>
        <v/>
      </c>
      <c r="L673" s="25">
        <f>E673*K673*(1-F673)</f>
        <v/>
      </c>
      <c r="M673" s="25">
        <f>L673*VLOOKUP(D673,Lookups!$A$5:$E$10,5,FALSE)</f>
        <v/>
      </c>
    </row>
    <row r="674">
      <c r="A674" s="21" t="inlineStr">
        <is>
          <t>INV-10812</t>
        </is>
      </c>
      <c r="B674" s="22" t="n">
        <v>45865</v>
      </c>
      <c r="C674" s="21" t="inlineStr">
        <is>
          <t>R01</t>
        </is>
      </c>
      <c r="D674" s="21" t="inlineStr">
        <is>
          <t>P400</t>
        </is>
      </c>
      <c r="E674" s="21" t="n">
        <v>19</v>
      </c>
      <c r="F674" s="23" t="n">
        <v>0</v>
      </c>
      <c r="G674" s="24">
        <f>TEXT(B674,"mmm")</f>
        <v/>
      </c>
      <c r="H674" s="24">
        <f>HLOOKUP(C674,Lookups!$H$4:$K$5,2,FALSE)</f>
        <v/>
      </c>
      <c r="I674" s="24">
        <f>VLOOKUP(D674,Lookups!$A$5:$E$10,2,FALSE)</f>
        <v/>
      </c>
      <c r="J674" s="24">
        <f>VLOOKUP(D674,Lookups!$A$5:$E$10,3,FALSE)</f>
        <v/>
      </c>
      <c r="K674" s="25">
        <f>VLOOKUP(D674,Lookups!$A$5:$E$10,4,FALSE)</f>
        <v/>
      </c>
      <c r="L674" s="25">
        <f>E674*K674*(1-F674)</f>
        <v/>
      </c>
      <c r="M674" s="25">
        <f>L674*VLOOKUP(D674,Lookups!$A$5:$E$10,5,FALSE)</f>
        <v/>
      </c>
    </row>
    <row r="675">
      <c r="A675" s="21" t="inlineStr">
        <is>
          <t>INV-10046</t>
        </is>
      </c>
      <c r="B675" s="22" t="n">
        <v>45866</v>
      </c>
      <c r="C675" s="21" t="inlineStr">
        <is>
          <t>R01</t>
        </is>
      </c>
      <c r="D675" s="21" t="inlineStr">
        <is>
          <t>P200</t>
        </is>
      </c>
      <c r="E675" s="21" t="n">
        <v>4</v>
      </c>
      <c r="F675" s="23" t="n">
        <v>0.1</v>
      </c>
      <c r="G675" s="24">
        <f>TEXT(B675,"mmm")</f>
        <v/>
      </c>
      <c r="H675" s="24">
        <f>HLOOKUP(C675,Lookups!$H$4:$K$5,2,FALSE)</f>
        <v/>
      </c>
      <c r="I675" s="24">
        <f>VLOOKUP(D675,Lookups!$A$5:$E$10,2,FALSE)</f>
        <v/>
      </c>
      <c r="J675" s="24">
        <f>VLOOKUP(D675,Lookups!$A$5:$E$10,3,FALSE)</f>
        <v/>
      </c>
      <c r="K675" s="25">
        <f>VLOOKUP(D675,Lookups!$A$5:$E$10,4,FALSE)</f>
        <v/>
      </c>
      <c r="L675" s="25">
        <f>E675*K675*(1-F675)</f>
        <v/>
      </c>
      <c r="M675" s="25">
        <f>L675*VLOOKUP(D675,Lookups!$A$5:$E$10,5,FALSE)</f>
        <v/>
      </c>
    </row>
    <row r="676">
      <c r="A676" s="21" t="inlineStr">
        <is>
          <t>INV-10149</t>
        </is>
      </c>
      <c r="B676" s="22" t="n">
        <v>45866</v>
      </c>
      <c r="C676" s="21" t="inlineStr">
        <is>
          <t>R02</t>
        </is>
      </c>
      <c r="D676" s="21" t="inlineStr">
        <is>
          <t>P400</t>
        </is>
      </c>
      <c r="E676" s="21" t="n">
        <v>23</v>
      </c>
      <c r="F676" s="23" t="n">
        <v>0.1</v>
      </c>
      <c r="G676" s="24">
        <f>TEXT(B676,"mmm")</f>
        <v/>
      </c>
      <c r="H676" s="24">
        <f>HLOOKUP(C676,Lookups!$H$4:$K$5,2,FALSE)</f>
        <v/>
      </c>
      <c r="I676" s="24">
        <f>VLOOKUP(D676,Lookups!$A$5:$E$10,2,FALSE)</f>
        <v/>
      </c>
      <c r="J676" s="24">
        <f>VLOOKUP(D676,Lookups!$A$5:$E$10,3,FALSE)</f>
        <v/>
      </c>
      <c r="K676" s="25">
        <f>VLOOKUP(D676,Lookups!$A$5:$E$10,4,FALSE)</f>
        <v/>
      </c>
      <c r="L676" s="25">
        <f>E676*K676*(1-F676)</f>
        <v/>
      </c>
      <c r="M676" s="25">
        <f>L676*VLOOKUP(D676,Lookups!$A$5:$E$10,5,FALSE)</f>
        <v/>
      </c>
    </row>
    <row r="677">
      <c r="A677" s="21" t="inlineStr">
        <is>
          <t>INV-10452</t>
        </is>
      </c>
      <c r="B677" s="22" t="n">
        <v>45866</v>
      </c>
      <c r="C677" s="21" t="inlineStr">
        <is>
          <t>R04</t>
        </is>
      </c>
      <c r="D677" s="21" t="inlineStr">
        <is>
          <t>P600</t>
        </is>
      </c>
      <c r="E677" s="21" t="n">
        <v>16</v>
      </c>
      <c r="F677" s="23" t="n">
        <v>0</v>
      </c>
      <c r="G677" s="24">
        <f>TEXT(B677,"mmm")</f>
        <v/>
      </c>
      <c r="H677" s="24">
        <f>HLOOKUP(C677,Lookups!$H$4:$K$5,2,FALSE)</f>
        <v/>
      </c>
      <c r="I677" s="24">
        <f>VLOOKUP(D677,Lookups!$A$5:$E$10,2,FALSE)</f>
        <v/>
      </c>
      <c r="J677" s="24">
        <f>VLOOKUP(D677,Lookups!$A$5:$E$10,3,FALSE)</f>
        <v/>
      </c>
      <c r="K677" s="25">
        <f>VLOOKUP(D677,Lookups!$A$5:$E$10,4,FALSE)</f>
        <v/>
      </c>
      <c r="L677" s="25">
        <f>E677*K677*(1-F677)</f>
        <v/>
      </c>
      <c r="M677" s="25">
        <f>L677*VLOOKUP(D677,Lookups!$A$5:$E$10,5,FALSE)</f>
        <v/>
      </c>
    </row>
    <row r="678">
      <c r="A678" s="21" t="inlineStr">
        <is>
          <t>INV-10209</t>
        </is>
      </c>
      <c r="B678" s="22" t="n">
        <v>45867</v>
      </c>
      <c r="C678" s="21" t="inlineStr">
        <is>
          <t>R02</t>
        </is>
      </c>
      <c r="D678" s="21" t="inlineStr">
        <is>
          <t>P600</t>
        </is>
      </c>
      <c r="E678" s="21" t="n">
        <v>3</v>
      </c>
      <c r="F678" s="23" t="n">
        <v>0.1</v>
      </c>
      <c r="G678" s="24">
        <f>TEXT(B678,"mmm")</f>
        <v/>
      </c>
      <c r="H678" s="24">
        <f>HLOOKUP(C678,Lookups!$H$4:$K$5,2,FALSE)</f>
        <v/>
      </c>
      <c r="I678" s="24">
        <f>VLOOKUP(D678,Lookups!$A$5:$E$10,2,FALSE)</f>
        <v/>
      </c>
      <c r="J678" s="24">
        <f>VLOOKUP(D678,Lookups!$A$5:$E$10,3,FALSE)</f>
        <v/>
      </c>
      <c r="K678" s="25">
        <f>VLOOKUP(D678,Lookups!$A$5:$E$10,4,FALSE)</f>
        <v/>
      </c>
      <c r="L678" s="25">
        <f>E678*K678*(1-F678)</f>
        <v/>
      </c>
      <c r="M678" s="25">
        <f>L678*VLOOKUP(D678,Lookups!$A$5:$E$10,5,FALSE)</f>
        <v/>
      </c>
    </row>
    <row r="679">
      <c r="A679" s="21" t="inlineStr">
        <is>
          <t>INV-10608</t>
        </is>
      </c>
      <c r="B679" s="22" t="n">
        <v>45867</v>
      </c>
      <c r="C679" s="21" t="inlineStr">
        <is>
          <t>R04</t>
        </is>
      </c>
      <c r="D679" s="21" t="inlineStr">
        <is>
          <t>P600</t>
        </is>
      </c>
      <c r="E679" s="21" t="n">
        <v>14</v>
      </c>
      <c r="F679" s="23" t="n">
        <v>0.1</v>
      </c>
      <c r="G679" s="24">
        <f>TEXT(B679,"mmm")</f>
        <v/>
      </c>
      <c r="H679" s="24">
        <f>HLOOKUP(C679,Lookups!$H$4:$K$5,2,FALSE)</f>
        <v/>
      </c>
      <c r="I679" s="24">
        <f>VLOOKUP(D679,Lookups!$A$5:$E$10,2,FALSE)</f>
        <v/>
      </c>
      <c r="J679" s="24">
        <f>VLOOKUP(D679,Lookups!$A$5:$E$10,3,FALSE)</f>
        <v/>
      </c>
      <c r="K679" s="25">
        <f>VLOOKUP(D679,Lookups!$A$5:$E$10,4,FALSE)</f>
        <v/>
      </c>
      <c r="L679" s="25">
        <f>E679*K679*(1-F679)</f>
        <v/>
      </c>
      <c r="M679" s="25">
        <f>L679*VLOOKUP(D679,Lookups!$A$5:$E$10,5,FALSE)</f>
        <v/>
      </c>
    </row>
    <row r="680">
      <c r="A680" s="21" t="inlineStr">
        <is>
          <t>INV-10186</t>
        </is>
      </c>
      <c r="B680" s="22" t="n">
        <v>45868</v>
      </c>
      <c r="C680" s="21" t="inlineStr">
        <is>
          <t>R04</t>
        </is>
      </c>
      <c r="D680" s="21" t="inlineStr">
        <is>
          <t>P600</t>
        </is>
      </c>
      <c r="E680" s="21" t="n">
        <v>10</v>
      </c>
      <c r="F680" s="23" t="n">
        <v>0.1</v>
      </c>
      <c r="G680" s="24">
        <f>TEXT(B680,"mmm")</f>
        <v/>
      </c>
      <c r="H680" s="24">
        <f>HLOOKUP(C680,Lookups!$H$4:$K$5,2,FALSE)</f>
        <v/>
      </c>
      <c r="I680" s="24">
        <f>VLOOKUP(D680,Lookups!$A$5:$E$10,2,FALSE)</f>
        <v/>
      </c>
      <c r="J680" s="24">
        <f>VLOOKUP(D680,Lookups!$A$5:$E$10,3,FALSE)</f>
        <v/>
      </c>
      <c r="K680" s="25">
        <f>VLOOKUP(D680,Lookups!$A$5:$E$10,4,FALSE)</f>
        <v/>
      </c>
      <c r="L680" s="25">
        <f>E680*K680*(1-F680)</f>
        <v/>
      </c>
      <c r="M680" s="25">
        <f>L680*VLOOKUP(D680,Lookups!$A$5:$E$10,5,FALSE)</f>
        <v/>
      </c>
    </row>
    <row r="681">
      <c r="A681" s="21" t="inlineStr">
        <is>
          <t>INV-10778</t>
        </is>
      </c>
      <c r="B681" s="22" t="n">
        <v>45868</v>
      </c>
      <c r="C681" s="21" t="inlineStr">
        <is>
          <t>R04</t>
        </is>
      </c>
      <c r="D681" s="21" t="inlineStr">
        <is>
          <t>P300</t>
        </is>
      </c>
      <c r="E681" s="21" t="n">
        <v>21</v>
      </c>
      <c r="F681" s="23" t="n">
        <v>0.1</v>
      </c>
      <c r="G681" s="24">
        <f>TEXT(B681,"mmm")</f>
        <v/>
      </c>
      <c r="H681" s="24">
        <f>HLOOKUP(C681,Lookups!$H$4:$K$5,2,FALSE)</f>
        <v/>
      </c>
      <c r="I681" s="24">
        <f>VLOOKUP(D681,Lookups!$A$5:$E$10,2,FALSE)</f>
        <v/>
      </c>
      <c r="J681" s="24">
        <f>VLOOKUP(D681,Lookups!$A$5:$E$10,3,FALSE)</f>
        <v/>
      </c>
      <c r="K681" s="25">
        <f>VLOOKUP(D681,Lookups!$A$5:$E$10,4,FALSE)</f>
        <v/>
      </c>
      <c r="L681" s="25">
        <f>E681*K681*(1-F681)</f>
        <v/>
      </c>
      <c r="M681" s="25">
        <f>L681*VLOOKUP(D681,Lookups!$A$5:$E$10,5,FALSE)</f>
        <v/>
      </c>
    </row>
    <row r="682">
      <c r="A682" s="21" t="inlineStr">
        <is>
          <t>INV-10516</t>
        </is>
      </c>
      <c r="B682" s="22" t="n">
        <v>45869</v>
      </c>
      <c r="C682" s="21" t="inlineStr">
        <is>
          <t>R02</t>
        </is>
      </c>
      <c r="D682" s="21" t="inlineStr">
        <is>
          <t>P100</t>
        </is>
      </c>
      <c r="E682" s="21" t="n">
        <v>24</v>
      </c>
      <c r="F682" s="23" t="n">
        <v>0</v>
      </c>
      <c r="G682" s="24">
        <f>TEXT(B682,"mmm")</f>
        <v/>
      </c>
      <c r="H682" s="24">
        <f>HLOOKUP(C682,Lookups!$H$4:$K$5,2,FALSE)</f>
        <v/>
      </c>
      <c r="I682" s="24">
        <f>VLOOKUP(D682,Lookups!$A$5:$E$10,2,FALSE)</f>
        <v/>
      </c>
      <c r="J682" s="24">
        <f>VLOOKUP(D682,Lookups!$A$5:$E$10,3,FALSE)</f>
        <v/>
      </c>
      <c r="K682" s="25">
        <f>VLOOKUP(D682,Lookups!$A$5:$E$10,4,FALSE)</f>
        <v/>
      </c>
      <c r="L682" s="25">
        <f>E682*K682*(1-F682)</f>
        <v/>
      </c>
      <c r="M682" s="25">
        <f>L682*VLOOKUP(D682,Lookups!$A$5:$E$10,5,FALSE)</f>
        <v/>
      </c>
    </row>
    <row r="683">
      <c r="A683" s="21" t="inlineStr">
        <is>
          <t>INV-10524</t>
        </is>
      </c>
      <c r="B683" s="22" t="n">
        <v>45869</v>
      </c>
      <c r="C683" s="21" t="inlineStr">
        <is>
          <t>R02</t>
        </is>
      </c>
      <c r="D683" s="21" t="inlineStr">
        <is>
          <t>P200</t>
        </is>
      </c>
      <c r="E683" s="21" t="n">
        <v>3</v>
      </c>
      <c r="F683" s="23" t="n">
        <v>0</v>
      </c>
      <c r="G683" s="24">
        <f>TEXT(B683,"mmm")</f>
        <v/>
      </c>
      <c r="H683" s="24">
        <f>HLOOKUP(C683,Lookups!$H$4:$K$5,2,FALSE)</f>
        <v/>
      </c>
      <c r="I683" s="24">
        <f>VLOOKUP(D683,Lookups!$A$5:$E$10,2,FALSE)</f>
        <v/>
      </c>
      <c r="J683" s="24">
        <f>VLOOKUP(D683,Lookups!$A$5:$E$10,3,FALSE)</f>
        <v/>
      </c>
      <c r="K683" s="25">
        <f>VLOOKUP(D683,Lookups!$A$5:$E$10,4,FALSE)</f>
        <v/>
      </c>
      <c r="L683" s="25">
        <f>E683*K683*(1-F683)</f>
        <v/>
      </c>
      <c r="M683" s="25">
        <f>L683*VLOOKUP(D683,Lookups!$A$5:$E$10,5,FALSE)</f>
        <v/>
      </c>
    </row>
    <row r="684">
      <c r="A684" s="21" t="inlineStr">
        <is>
          <t>INV-10876</t>
        </is>
      </c>
      <c r="B684" s="22" t="n">
        <v>45869</v>
      </c>
      <c r="C684" s="21" t="inlineStr">
        <is>
          <t>R01</t>
        </is>
      </c>
      <c r="D684" s="21" t="inlineStr">
        <is>
          <t>P100</t>
        </is>
      </c>
      <c r="E684" s="21" t="n">
        <v>3</v>
      </c>
      <c r="F684" s="23" t="n">
        <v>0.05</v>
      </c>
      <c r="G684" s="24">
        <f>TEXT(B684,"mmm")</f>
        <v/>
      </c>
      <c r="H684" s="24">
        <f>HLOOKUP(C684,Lookups!$H$4:$K$5,2,FALSE)</f>
        <v/>
      </c>
      <c r="I684" s="24">
        <f>VLOOKUP(D684,Lookups!$A$5:$E$10,2,FALSE)</f>
        <v/>
      </c>
      <c r="J684" s="24">
        <f>VLOOKUP(D684,Lookups!$A$5:$E$10,3,FALSE)</f>
        <v/>
      </c>
      <c r="K684" s="25">
        <f>VLOOKUP(D684,Lookups!$A$5:$E$10,4,FALSE)</f>
        <v/>
      </c>
      <c r="L684" s="25">
        <f>E684*K684*(1-F684)</f>
        <v/>
      </c>
      <c r="M684" s="25">
        <f>L684*VLOOKUP(D684,Lookups!$A$5:$E$10,5,FALSE)</f>
        <v/>
      </c>
    </row>
    <row r="685">
      <c r="A685" s="21" t="inlineStr">
        <is>
          <t>INV-11065</t>
        </is>
      </c>
      <c r="B685" s="22" t="n">
        <v>45869</v>
      </c>
      <c r="C685" s="21" t="inlineStr">
        <is>
          <t>R02</t>
        </is>
      </c>
      <c r="D685" s="21" t="inlineStr">
        <is>
          <t>P200</t>
        </is>
      </c>
      <c r="E685" s="21" t="n">
        <v>1</v>
      </c>
      <c r="F685" s="23" t="n">
        <v>0</v>
      </c>
      <c r="G685" s="24">
        <f>TEXT(B685,"mmm")</f>
        <v/>
      </c>
      <c r="H685" s="24">
        <f>HLOOKUP(C685,Lookups!$H$4:$K$5,2,FALSE)</f>
        <v/>
      </c>
      <c r="I685" s="24">
        <f>VLOOKUP(D685,Lookups!$A$5:$E$10,2,FALSE)</f>
        <v/>
      </c>
      <c r="J685" s="24">
        <f>VLOOKUP(D685,Lookups!$A$5:$E$10,3,FALSE)</f>
        <v/>
      </c>
      <c r="K685" s="25">
        <f>VLOOKUP(D685,Lookups!$A$5:$E$10,4,FALSE)</f>
        <v/>
      </c>
      <c r="L685" s="25">
        <f>E685*K685*(1-F685)</f>
        <v/>
      </c>
      <c r="M685" s="25">
        <f>L685*VLOOKUP(D685,Lookups!$A$5:$E$10,5,FALSE)</f>
        <v/>
      </c>
    </row>
    <row r="686">
      <c r="A686" s="21" t="inlineStr">
        <is>
          <t>INV-11087</t>
        </is>
      </c>
      <c r="B686" s="22" t="n">
        <v>45869</v>
      </c>
      <c r="C686" s="21" t="inlineStr">
        <is>
          <t>R01</t>
        </is>
      </c>
      <c r="D686" s="21" t="inlineStr">
        <is>
          <t>P200</t>
        </is>
      </c>
      <c r="E686" s="21" t="n">
        <v>6</v>
      </c>
      <c r="F686" s="23" t="n">
        <v>0</v>
      </c>
      <c r="G686" s="24">
        <f>TEXT(B686,"mmm")</f>
        <v/>
      </c>
      <c r="H686" s="24">
        <f>HLOOKUP(C686,Lookups!$H$4:$K$5,2,FALSE)</f>
        <v/>
      </c>
      <c r="I686" s="24">
        <f>VLOOKUP(D686,Lookups!$A$5:$E$10,2,FALSE)</f>
        <v/>
      </c>
      <c r="J686" s="24">
        <f>VLOOKUP(D686,Lookups!$A$5:$E$10,3,FALSE)</f>
        <v/>
      </c>
      <c r="K686" s="25">
        <f>VLOOKUP(D686,Lookups!$A$5:$E$10,4,FALSE)</f>
        <v/>
      </c>
      <c r="L686" s="25">
        <f>E686*K686*(1-F686)</f>
        <v/>
      </c>
      <c r="M686" s="25">
        <f>L686*VLOOKUP(D686,Lookups!$A$5:$E$10,5,FALSE)</f>
        <v/>
      </c>
    </row>
    <row r="687">
      <c r="A687" s="21" t="inlineStr">
        <is>
          <t>INV-11198</t>
        </is>
      </c>
      <c r="B687" s="22" t="n">
        <v>45869</v>
      </c>
      <c r="C687" s="21" t="inlineStr">
        <is>
          <t>R03</t>
        </is>
      </c>
      <c r="D687" s="21" t="inlineStr">
        <is>
          <t>P400</t>
        </is>
      </c>
      <c r="E687" s="21" t="n">
        <v>15</v>
      </c>
      <c r="F687" s="23" t="n">
        <v>0.05</v>
      </c>
      <c r="G687" s="24">
        <f>TEXT(B687,"mmm")</f>
        <v/>
      </c>
      <c r="H687" s="24">
        <f>HLOOKUP(C687,Lookups!$H$4:$K$5,2,FALSE)</f>
        <v/>
      </c>
      <c r="I687" s="24">
        <f>VLOOKUP(D687,Lookups!$A$5:$E$10,2,FALSE)</f>
        <v/>
      </c>
      <c r="J687" s="24">
        <f>VLOOKUP(D687,Lookups!$A$5:$E$10,3,FALSE)</f>
        <v/>
      </c>
      <c r="K687" s="25">
        <f>VLOOKUP(D687,Lookups!$A$5:$E$10,4,FALSE)</f>
        <v/>
      </c>
      <c r="L687" s="25">
        <f>E687*K687*(1-F687)</f>
        <v/>
      </c>
      <c r="M687" s="25">
        <f>L687*VLOOKUP(D687,Lookups!$A$5:$E$10,5,FALSE)</f>
        <v/>
      </c>
    </row>
    <row r="688">
      <c r="A688" s="21" t="inlineStr">
        <is>
          <t>INV-10118</t>
        </is>
      </c>
      <c r="B688" s="22" t="n">
        <v>45870</v>
      </c>
      <c r="C688" s="21" t="inlineStr">
        <is>
          <t>R02</t>
        </is>
      </c>
      <c r="D688" s="21" t="inlineStr">
        <is>
          <t>P100</t>
        </is>
      </c>
      <c r="E688" s="21" t="n">
        <v>14</v>
      </c>
      <c r="F688" s="23" t="n">
        <v>0.1</v>
      </c>
      <c r="G688" s="24">
        <f>TEXT(B688,"mmm")</f>
        <v/>
      </c>
      <c r="H688" s="24">
        <f>HLOOKUP(C688,Lookups!$H$4:$K$5,2,FALSE)</f>
        <v/>
      </c>
      <c r="I688" s="24">
        <f>VLOOKUP(D688,Lookups!$A$5:$E$10,2,FALSE)</f>
        <v/>
      </c>
      <c r="J688" s="24">
        <f>VLOOKUP(D688,Lookups!$A$5:$E$10,3,FALSE)</f>
        <v/>
      </c>
      <c r="K688" s="25">
        <f>VLOOKUP(D688,Lookups!$A$5:$E$10,4,FALSE)</f>
        <v/>
      </c>
      <c r="L688" s="25">
        <f>E688*K688*(1-F688)</f>
        <v/>
      </c>
      <c r="M688" s="25">
        <f>L688*VLOOKUP(D688,Lookups!$A$5:$E$10,5,FALSE)</f>
        <v/>
      </c>
    </row>
    <row r="689">
      <c r="A689" s="21" t="inlineStr">
        <is>
          <t>INV-10200</t>
        </is>
      </c>
      <c r="B689" s="22" t="n">
        <v>45870</v>
      </c>
      <c r="C689" s="21" t="inlineStr">
        <is>
          <t>R03</t>
        </is>
      </c>
      <c r="D689" s="21" t="inlineStr">
        <is>
          <t>P300</t>
        </is>
      </c>
      <c r="E689" s="21" t="n">
        <v>1</v>
      </c>
      <c r="F689" s="23" t="n">
        <v>0.05</v>
      </c>
      <c r="G689" s="24">
        <f>TEXT(B689,"mmm")</f>
        <v/>
      </c>
      <c r="H689" s="24">
        <f>HLOOKUP(C689,Lookups!$H$4:$K$5,2,FALSE)</f>
        <v/>
      </c>
      <c r="I689" s="24">
        <f>VLOOKUP(D689,Lookups!$A$5:$E$10,2,FALSE)</f>
        <v/>
      </c>
      <c r="J689" s="24">
        <f>VLOOKUP(D689,Lookups!$A$5:$E$10,3,FALSE)</f>
        <v/>
      </c>
      <c r="K689" s="25">
        <f>VLOOKUP(D689,Lookups!$A$5:$E$10,4,FALSE)</f>
        <v/>
      </c>
      <c r="L689" s="25">
        <f>E689*K689*(1-F689)</f>
        <v/>
      </c>
      <c r="M689" s="25">
        <f>L689*VLOOKUP(D689,Lookups!$A$5:$E$10,5,FALSE)</f>
        <v/>
      </c>
    </row>
    <row r="690">
      <c r="A690" s="21" t="inlineStr">
        <is>
          <t>INV-10247</t>
        </is>
      </c>
      <c r="B690" s="22" t="n">
        <v>45870</v>
      </c>
      <c r="C690" s="21" t="inlineStr">
        <is>
          <t>R01</t>
        </is>
      </c>
      <c r="D690" s="21" t="inlineStr">
        <is>
          <t>P600</t>
        </is>
      </c>
      <c r="E690" s="21" t="n">
        <v>16</v>
      </c>
      <c r="F690" s="23" t="n">
        <v>0.1</v>
      </c>
      <c r="G690" s="24">
        <f>TEXT(B690,"mmm")</f>
        <v/>
      </c>
      <c r="H690" s="24">
        <f>HLOOKUP(C690,Lookups!$H$4:$K$5,2,FALSE)</f>
        <v/>
      </c>
      <c r="I690" s="24">
        <f>VLOOKUP(D690,Lookups!$A$5:$E$10,2,FALSE)</f>
        <v/>
      </c>
      <c r="J690" s="24">
        <f>VLOOKUP(D690,Lookups!$A$5:$E$10,3,FALSE)</f>
        <v/>
      </c>
      <c r="K690" s="25">
        <f>VLOOKUP(D690,Lookups!$A$5:$E$10,4,FALSE)</f>
        <v/>
      </c>
      <c r="L690" s="25">
        <f>E690*K690*(1-F690)</f>
        <v/>
      </c>
      <c r="M690" s="25">
        <f>L690*VLOOKUP(D690,Lookups!$A$5:$E$10,5,FALSE)</f>
        <v/>
      </c>
    </row>
    <row r="691">
      <c r="A691" s="21" t="inlineStr">
        <is>
          <t>INV-10270</t>
        </is>
      </c>
      <c r="B691" s="22" t="n">
        <v>45870</v>
      </c>
      <c r="C691" s="21" t="inlineStr">
        <is>
          <t>R01</t>
        </is>
      </c>
      <c r="D691" s="21" t="inlineStr">
        <is>
          <t>P600</t>
        </is>
      </c>
      <c r="E691" s="21" t="n">
        <v>11</v>
      </c>
      <c r="F691" s="23" t="n">
        <v>0.1</v>
      </c>
      <c r="G691" s="24">
        <f>TEXT(B691,"mmm")</f>
        <v/>
      </c>
      <c r="H691" s="24">
        <f>HLOOKUP(C691,Lookups!$H$4:$K$5,2,FALSE)</f>
        <v/>
      </c>
      <c r="I691" s="24">
        <f>VLOOKUP(D691,Lookups!$A$5:$E$10,2,FALSE)</f>
        <v/>
      </c>
      <c r="J691" s="24">
        <f>VLOOKUP(D691,Lookups!$A$5:$E$10,3,FALSE)</f>
        <v/>
      </c>
      <c r="K691" s="25">
        <f>VLOOKUP(D691,Lookups!$A$5:$E$10,4,FALSE)</f>
        <v/>
      </c>
      <c r="L691" s="25">
        <f>E691*K691*(1-F691)</f>
        <v/>
      </c>
      <c r="M691" s="25">
        <f>L691*VLOOKUP(D691,Lookups!$A$5:$E$10,5,FALSE)</f>
        <v/>
      </c>
    </row>
    <row r="692">
      <c r="A692" s="21" t="inlineStr">
        <is>
          <t>INV-10917</t>
        </is>
      </c>
      <c r="B692" s="22" t="n">
        <v>45870</v>
      </c>
      <c r="C692" s="21" t="inlineStr">
        <is>
          <t>R04</t>
        </is>
      </c>
      <c r="D692" s="21" t="inlineStr">
        <is>
          <t>P500</t>
        </is>
      </c>
      <c r="E692" s="21" t="n">
        <v>3</v>
      </c>
      <c r="F692" s="23" t="n">
        <v>0.05</v>
      </c>
      <c r="G692" s="24">
        <f>TEXT(B692,"mmm")</f>
        <v/>
      </c>
      <c r="H692" s="24">
        <f>HLOOKUP(C692,Lookups!$H$4:$K$5,2,FALSE)</f>
        <v/>
      </c>
      <c r="I692" s="24">
        <f>VLOOKUP(D692,Lookups!$A$5:$E$10,2,FALSE)</f>
        <v/>
      </c>
      <c r="J692" s="24">
        <f>VLOOKUP(D692,Lookups!$A$5:$E$10,3,FALSE)</f>
        <v/>
      </c>
      <c r="K692" s="25">
        <f>VLOOKUP(D692,Lookups!$A$5:$E$10,4,FALSE)</f>
        <v/>
      </c>
      <c r="L692" s="25">
        <f>E692*K692*(1-F692)</f>
        <v/>
      </c>
      <c r="M692" s="25">
        <f>L692*VLOOKUP(D692,Lookups!$A$5:$E$10,5,FALSE)</f>
        <v/>
      </c>
    </row>
    <row r="693">
      <c r="A693" s="21" t="inlineStr">
        <is>
          <t>INV-10978</t>
        </is>
      </c>
      <c r="B693" s="22" t="n">
        <v>45870</v>
      </c>
      <c r="C693" s="21" t="inlineStr">
        <is>
          <t>R01</t>
        </is>
      </c>
      <c r="D693" s="21" t="inlineStr">
        <is>
          <t>P300</t>
        </is>
      </c>
      <c r="E693" s="21" t="n">
        <v>16</v>
      </c>
      <c r="F693" s="23" t="n">
        <v>0.1</v>
      </c>
      <c r="G693" s="24">
        <f>TEXT(B693,"mmm")</f>
        <v/>
      </c>
      <c r="H693" s="24">
        <f>HLOOKUP(C693,Lookups!$H$4:$K$5,2,FALSE)</f>
        <v/>
      </c>
      <c r="I693" s="24">
        <f>VLOOKUP(D693,Lookups!$A$5:$E$10,2,FALSE)</f>
        <v/>
      </c>
      <c r="J693" s="24">
        <f>VLOOKUP(D693,Lookups!$A$5:$E$10,3,FALSE)</f>
        <v/>
      </c>
      <c r="K693" s="25">
        <f>VLOOKUP(D693,Lookups!$A$5:$E$10,4,FALSE)</f>
        <v/>
      </c>
      <c r="L693" s="25">
        <f>E693*K693*(1-F693)</f>
        <v/>
      </c>
      <c r="M693" s="25">
        <f>L693*VLOOKUP(D693,Lookups!$A$5:$E$10,5,FALSE)</f>
        <v/>
      </c>
    </row>
    <row r="694">
      <c r="A694" s="21" t="inlineStr">
        <is>
          <t>INV-10430</t>
        </is>
      </c>
      <c r="B694" s="22" t="n">
        <v>45871</v>
      </c>
      <c r="C694" s="21" t="inlineStr">
        <is>
          <t>R03</t>
        </is>
      </c>
      <c r="D694" s="21" t="inlineStr">
        <is>
          <t>P500</t>
        </is>
      </c>
      <c r="E694" s="21" t="n">
        <v>24</v>
      </c>
      <c r="F694" s="23" t="n">
        <v>0</v>
      </c>
      <c r="G694" s="24">
        <f>TEXT(B694,"mmm")</f>
        <v/>
      </c>
      <c r="H694" s="24">
        <f>HLOOKUP(C694,Lookups!$H$4:$K$5,2,FALSE)</f>
        <v/>
      </c>
      <c r="I694" s="24">
        <f>VLOOKUP(D694,Lookups!$A$5:$E$10,2,FALSE)</f>
        <v/>
      </c>
      <c r="J694" s="24">
        <f>VLOOKUP(D694,Lookups!$A$5:$E$10,3,FALSE)</f>
        <v/>
      </c>
      <c r="K694" s="25">
        <f>VLOOKUP(D694,Lookups!$A$5:$E$10,4,FALSE)</f>
        <v/>
      </c>
      <c r="L694" s="25">
        <f>E694*K694*(1-F694)</f>
        <v/>
      </c>
      <c r="M694" s="25">
        <f>L694*VLOOKUP(D694,Lookups!$A$5:$E$10,5,FALSE)</f>
        <v/>
      </c>
    </row>
    <row r="695">
      <c r="A695" s="21" t="inlineStr">
        <is>
          <t>INV-10841</t>
        </is>
      </c>
      <c r="B695" s="22" t="n">
        <v>45871</v>
      </c>
      <c r="C695" s="21" t="inlineStr">
        <is>
          <t>R04</t>
        </is>
      </c>
      <c r="D695" s="21" t="inlineStr">
        <is>
          <t>P400</t>
        </is>
      </c>
      <c r="E695" s="21" t="n">
        <v>4</v>
      </c>
      <c r="F695" s="23" t="n">
        <v>0.05</v>
      </c>
      <c r="G695" s="24">
        <f>TEXT(B695,"mmm")</f>
        <v/>
      </c>
      <c r="H695" s="24">
        <f>HLOOKUP(C695,Lookups!$H$4:$K$5,2,FALSE)</f>
        <v/>
      </c>
      <c r="I695" s="24">
        <f>VLOOKUP(D695,Lookups!$A$5:$E$10,2,FALSE)</f>
        <v/>
      </c>
      <c r="J695" s="24">
        <f>VLOOKUP(D695,Lookups!$A$5:$E$10,3,FALSE)</f>
        <v/>
      </c>
      <c r="K695" s="25">
        <f>VLOOKUP(D695,Lookups!$A$5:$E$10,4,FALSE)</f>
        <v/>
      </c>
      <c r="L695" s="25">
        <f>E695*K695*(1-F695)</f>
        <v/>
      </c>
      <c r="M695" s="25">
        <f>L695*VLOOKUP(D695,Lookups!$A$5:$E$10,5,FALSE)</f>
        <v/>
      </c>
    </row>
    <row r="696">
      <c r="A696" s="21" t="inlineStr">
        <is>
          <t>INV-10862</t>
        </is>
      </c>
      <c r="B696" s="22" t="n">
        <v>45871</v>
      </c>
      <c r="C696" s="21" t="inlineStr">
        <is>
          <t>R04</t>
        </is>
      </c>
      <c r="D696" s="21" t="inlineStr">
        <is>
          <t>P500</t>
        </is>
      </c>
      <c r="E696" s="21" t="n">
        <v>19</v>
      </c>
      <c r="F696" s="23" t="n">
        <v>0.1</v>
      </c>
      <c r="G696" s="24">
        <f>TEXT(B696,"mmm")</f>
        <v/>
      </c>
      <c r="H696" s="24">
        <f>HLOOKUP(C696,Lookups!$H$4:$K$5,2,FALSE)</f>
        <v/>
      </c>
      <c r="I696" s="24">
        <f>VLOOKUP(D696,Lookups!$A$5:$E$10,2,FALSE)</f>
        <v/>
      </c>
      <c r="J696" s="24">
        <f>VLOOKUP(D696,Lookups!$A$5:$E$10,3,FALSE)</f>
        <v/>
      </c>
      <c r="K696" s="25">
        <f>VLOOKUP(D696,Lookups!$A$5:$E$10,4,FALSE)</f>
        <v/>
      </c>
      <c r="L696" s="25">
        <f>E696*K696*(1-F696)</f>
        <v/>
      </c>
      <c r="M696" s="25">
        <f>L696*VLOOKUP(D696,Lookups!$A$5:$E$10,5,FALSE)</f>
        <v/>
      </c>
    </row>
    <row r="697">
      <c r="A697" s="21" t="inlineStr">
        <is>
          <t>INV-10906</t>
        </is>
      </c>
      <c r="B697" s="22" t="n">
        <v>45871</v>
      </c>
      <c r="C697" s="21" t="inlineStr">
        <is>
          <t>R03</t>
        </is>
      </c>
      <c r="D697" s="21" t="inlineStr">
        <is>
          <t>P600</t>
        </is>
      </c>
      <c r="E697" s="21" t="n">
        <v>18</v>
      </c>
      <c r="F697" s="23" t="n">
        <v>0</v>
      </c>
      <c r="G697" s="24">
        <f>TEXT(B697,"mmm")</f>
        <v/>
      </c>
      <c r="H697" s="24">
        <f>HLOOKUP(C697,Lookups!$H$4:$K$5,2,FALSE)</f>
        <v/>
      </c>
      <c r="I697" s="24">
        <f>VLOOKUP(D697,Lookups!$A$5:$E$10,2,FALSE)</f>
        <v/>
      </c>
      <c r="J697" s="24">
        <f>VLOOKUP(D697,Lookups!$A$5:$E$10,3,FALSE)</f>
        <v/>
      </c>
      <c r="K697" s="25">
        <f>VLOOKUP(D697,Lookups!$A$5:$E$10,4,FALSE)</f>
        <v/>
      </c>
      <c r="L697" s="25">
        <f>E697*K697*(1-F697)</f>
        <v/>
      </c>
      <c r="M697" s="25">
        <f>L697*VLOOKUP(D697,Lookups!$A$5:$E$10,5,FALSE)</f>
        <v/>
      </c>
    </row>
    <row r="698">
      <c r="A698" s="21" t="inlineStr">
        <is>
          <t>INV-11153</t>
        </is>
      </c>
      <c r="B698" s="22" t="n">
        <v>45871</v>
      </c>
      <c r="C698" s="21" t="inlineStr">
        <is>
          <t>R02</t>
        </is>
      </c>
      <c r="D698" s="21" t="inlineStr">
        <is>
          <t>P100</t>
        </is>
      </c>
      <c r="E698" s="21" t="n">
        <v>24</v>
      </c>
      <c r="F698" s="23" t="n">
        <v>0</v>
      </c>
      <c r="G698" s="24">
        <f>TEXT(B698,"mmm")</f>
        <v/>
      </c>
      <c r="H698" s="24">
        <f>HLOOKUP(C698,Lookups!$H$4:$K$5,2,FALSE)</f>
        <v/>
      </c>
      <c r="I698" s="24">
        <f>VLOOKUP(D698,Lookups!$A$5:$E$10,2,FALSE)</f>
        <v/>
      </c>
      <c r="J698" s="24">
        <f>VLOOKUP(D698,Lookups!$A$5:$E$10,3,FALSE)</f>
        <v/>
      </c>
      <c r="K698" s="25">
        <f>VLOOKUP(D698,Lookups!$A$5:$E$10,4,FALSE)</f>
        <v/>
      </c>
      <c r="L698" s="25">
        <f>E698*K698*(1-F698)</f>
        <v/>
      </c>
      <c r="M698" s="25">
        <f>L698*VLOOKUP(D698,Lookups!$A$5:$E$10,5,FALSE)</f>
        <v/>
      </c>
    </row>
    <row r="699">
      <c r="A699" s="21" t="inlineStr">
        <is>
          <t>INV-10121</t>
        </is>
      </c>
      <c r="B699" s="22" t="n">
        <v>45872</v>
      </c>
      <c r="C699" s="21" t="inlineStr">
        <is>
          <t>R02</t>
        </is>
      </c>
      <c r="D699" s="21" t="inlineStr">
        <is>
          <t>P500</t>
        </is>
      </c>
      <c r="E699" s="21" t="n">
        <v>16</v>
      </c>
      <c r="F699" s="23" t="n">
        <v>0</v>
      </c>
      <c r="G699" s="24">
        <f>TEXT(B699,"mmm")</f>
        <v/>
      </c>
      <c r="H699" s="24">
        <f>HLOOKUP(C699,Lookups!$H$4:$K$5,2,FALSE)</f>
        <v/>
      </c>
      <c r="I699" s="24">
        <f>VLOOKUP(D699,Lookups!$A$5:$E$10,2,FALSE)</f>
        <v/>
      </c>
      <c r="J699" s="24">
        <f>VLOOKUP(D699,Lookups!$A$5:$E$10,3,FALSE)</f>
        <v/>
      </c>
      <c r="K699" s="25">
        <f>VLOOKUP(D699,Lookups!$A$5:$E$10,4,FALSE)</f>
        <v/>
      </c>
      <c r="L699" s="25">
        <f>E699*K699*(1-F699)</f>
        <v/>
      </c>
      <c r="M699" s="25">
        <f>L699*VLOOKUP(D699,Lookups!$A$5:$E$10,5,FALSE)</f>
        <v/>
      </c>
    </row>
    <row r="700">
      <c r="A700" s="21" t="inlineStr">
        <is>
          <t>INV-10350</t>
        </is>
      </c>
      <c r="B700" s="22" t="n">
        <v>45872</v>
      </c>
      <c r="C700" s="21" t="inlineStr">
        <is>
          <t>R04</t>
        </is>
      </c>
      <c r="D700" s="21" t="inlineStr">
        <is>
          <t>P600</t>
        </is>
      </c>
      <c r="E700" s="21" t="n">
        <v>3</v>
      </c>
      <c r="F700" s="23" t="n">
        <v>0</v>
      </c>
      <c r="G700" s="24">
        <f>TEXT(B700,"mmm")</f>
        <v/>
      </c>
      <c r="H700" s="24">
        <f>HLOOKUP(C700,Lookups!$H$4:$K$5,2,FALSE)</f>
        <v/>
      </c>
      <c r="I700" s="24">
        <f>VLOOKUP(D700,Lookups!$A$5:$E$10,2,FALSE)</f>
        <v/>
      </c>
      <c r="J700" s="24">
        <f>VLOOKUP(D700,Lookups!$A$5:$E$10,3,FALSE)</f>
        <v/>
      </c>
      <c r="K700" s="25">
        <f>VLOOKUP(D700,Lookups!$A$5:$E$10,4,FALSE)</f>
        <v/>
      </c>
      <c r="L700" s="25">
        <f>E700*K700*(1-F700)</f>
        <v/>
      </c>
      <c r="M700" s="25">
        <f>L700*VLOOKUP(D700,Lookups!$A$5:$E$10,5,FALSE)</f>
        <v/>
      </c>
    </row>
    <row r="701">
      <c r="A701" s="21" t="inlineStr">
        <is>
          <t>INV-10716</t>
        </is>
      </c>
      <c r="B701" s="22" t="n">
        <v>45872</v>
      </c>
      <c r="C701" s="21" t="inlineStr">
        <is>
          <t>R02</t>
        </is>
      </c>
      <c r="D701" s="21" t="inlineStr">
        <is>
          <t>P200</t>
        </is>
      </c>
      <c r="E701" s="21" t="n">
        <v>21</v>
      </c>
      <c r="F701" s="23" t="n">
        <v>0</v>
      </c>
      <c r="G701" s="24">
        <f>TEXT(B701,"mmm")</f>
        <v/>
      </c>
      <c r="H701" s="24">
        <f>HLOOKUP(C701,Lookups!$H$4:$K$5,2,FALSE)</f>
        <v/>
      </c>
      <c r="I701" s="24">
        <f>VLOOKUP(D701,Lookups!$A$5:$E$10,2,FALSE)</f>
        <v/>
      </c>
      <c r="J701" s="24">
        <f>VLOOKUP(D701,Lookups!$A$5:$E$10,3,FALSE)</f>
        <v/>
      </c>
      <c r="K701" s="25">
        <f>VLOOKUP(D701,Lookups!$A$5:$E$10,4,FALSE)</f>
        <v/>
      </c>
      <c r="L701" s="25">
        <f>E701*K701*(1-F701)</f>
        <v/>
      </c>
      <c r="M701" s="25">
        <f>L701*VLOOKUP(D701,Lookups!$A$5:$E$10,5,FALSE)</f>
        <v/>
      </c>
    </row>
    <row r="702">
      <c r="A702" s="21" t="inlineStr">
        <is>
          <t>INV-11046</t>
        </is>
      </c>
      <c r="B702" s="22" t="n">
        <v>45872</v>
      </c>
      <c r="C702" s="21" t="inlineStr">
        <is>
          <t>R03</t>
        </is>
      </c>
      <c r="D702" s="21" t="inlineStr">
        <is>
          <t>P600</t>
        </is>
      </c>
      <c r="E702" s="21" t="n">
        <v>12</v>
      </c>
      <c r="F702" s="23" t="n">
        <v>0.1</v>
      </c>
      <c r="G702" s="24">
        <f>TEXT(B702,"mmm")</f>
        <v/>
      </c>
      <c r="H702" s="24">
        <f>HLOOKUP(C702,Lookups!$H$4:$K$5,2,FALSE)</f>
        <v/>
      </c>
      <c r="I702" s="24">
        <f>VLOOKUP(D702,Lookups!$A$5:$E$10,2,FALSE)</f>
        <v/>
      </c>
      <c r="J702" s="24">
        <f>VLOOKUP(D702,Lookups!$A$5:$E$10,3,FALSE)</f>
        <v/>
      </c>
      <c r="K702" s="25">
        <f>VLOOKUP(D702,Lookups!$A$5:$E$10,4,FALSE)</f>
        <v/>
      </c>
      <c r="L702" s="25">
        <f>E702*K702*(1-F702)</f>
        <v/>
      </c>
      <c r="M702" s="25">
        <f>L702*VLOOKUP(D702,Lookups!$A$5:$E$10,5,FALSE)</f>
        <v/>
      </c>
    </row>
    <row r="703">
      <c r="A703" s="21" t="inlineStr">
        <is>
          <t>INV-10259</t>
        </is>
      </c>
      <c r="B703" s="22" t="n">
        <v>45873</v>
      </c>
      <c r="C703" s="21" t="inlineStr">
        <is>
          <t>R01</t>
        </is>
      </c>
      <c r="D703" s="21" t="inlineStr">
        <is>
          <t>P500</t>
        </is>
      </c>
      <c r="E703" s="21" t="n">
        <v>24</v>
      </c>
      <c r="F703" s="23" t="n">
        <v>0</v>
      </c>
      <c r="G703" s="24">
        <f>TEXT(B703,"mmm")</f>
        <v/>
      </c>
      <c r="H703" s="24">
        <f>HLOOKUP(C703,Lookups!$H$4:$K$5,2,FALSE)</f>
        <v/>
      </c>
      <c r="I703" s="24">
        <f>VLOOKUP(D703,Lookups!$A$5:$E$10,2,FALSE)</f>
        <v/>
      </c>
      <c r="J703" s="24">
        <f>VLOOKUP(D703,Lookups!$A$5:$E$10,3,FALSE)</f>
        <v/>
      </c>
      <c r="K703" s="25">
        <f>VLOOKUP(D703,Lookups!$A$5:$E$10,4,FALSE)</f>
        <v/>
      </c>
      <c r="L703" s="25">
        <f>E703*K703*(1-F703)</f>
        <v/>
      </c>
      <c r="M703" s="25">
        <f>L703*VLOOKUP(D703,Lookups!$A$5:$E$10,5,FALSE)</f>
        <v/>
      </c>
    </row>
    <row r="704">
      <c r="A704" s="21" t="inlineStr">
        <is>
          <t>INV-10818</t>
        </is>
      </c>
      <c r="B704" s="22" t="n">
        <v>45873</v>
      </c>
      <c r="C704" s="21" t="inlineStr">
        <is>
          <t>R03</t>
        </is>
      </c>
      <c r="D704" s="21" t="inlineStr">
        <is>
          <t>P300</t>
        </is>
      </c>
      <c r="E704" s="21" t="n">
        <v>9</v>
      </c>
      <c r="F704" s="23" t="n">
        <v>0.05</v>
      </c>
      <c r="G704" s="24">
        <f>TEXT(B704,"mmm")</f>
        <v/>
      </c>
      <c r="H704" s="24">
        <f>HLOOKUP(C704,Lookups!$H$4:$K$5,2,FALSE)</f>
        <v/>
      </c>
      <c r="I704" s="24">
        <f>VLOOKUP(D704,Lookups!$A$5:$E$10,2,FALSE)</f>
        <v/>
      </c>
      <c r="J704" s="24">
        <f>VLOOKUP(D704,Lookups!$A$5:$E$10,3,FALSE)</f>
        <v/>
      </c>
      <c r="K704" s="25">
        <f>VLOOKUP(D704,Lookups!$A$5:$E$10,4,FALSE)</f>
        <v/>
      </c>
      <c r="L704" s="25">
        <f>E704*K704*(1-F704)</f>
        <v/>
      </c>
      <c r="M704" s="25">
        <f>L704*VLOOKUP(D704,Lookups!$A$5:$E$10,5,FALSE)</f>
        <v/>
      </c>
    </row>
    <row r="705">
      <c r="A705" s="21" t="inlineStr">
        <is>
          <t>INV-10860</t>
        </is>
      </c>
      <c r="B705" s="22" t="n">
        <v>45873</v>
      </c>
      <c r="C705" s="21" t="inlineStr">
        <is>
          <t>R02</t>
        </is>
      </c>
      <c r="D705" s="21" t="inlineStr">
        <is>
          <t>P600</t>
        </is>
      </c>
      <c r="E705" s="21" t="n">
        <v>4</v>
      </c>
      <c r="F705" s="23" t="n">
        <v>0</v>
      </c>
      <c r="G705" s="24">
        <f>TEXT(B705,"mmm")</f>
        <v/>
      </c>
      <c r="H705" s="24">
        <f>HLOOKUP(C705,Lookups!$H$4:$K$5,2,FALSE)</f>
        <v/>
      </c>
      <c r="I705" s="24">
        <f>VLOOKUP(D705,Lookups!$A$5:$E$10,2,FALSE)</f>
        <v/>
      </c>
      <c r="J705" s="24">
        <f>VLOOKUP(D705,Lookups!$A$5:$E$10,3,FALSE)</f>
        <v/>
      </c>
      <c r="K705" s="25">
        <f>VLOOKUP(D705,Lookups!$A$5:$E$10,4,FALSE)</f>
        <v/>
      </c>
      <c r="L705" s="25">
        <f>E705*K705*(1-F705)</f>
        <v/>
      </c>
      <c r="M705" s="25">
        <f>L705*VLOOKUP(D705,Lookups!$A$5:$E$10,5,FALSE)</f>
        <v/>
      </c>
    </row>
    <row r="706">
      <c r="A706" s="21" t="inlineStr">
        <is>
          <t>INV-11061</t>
        </is>
      </c>
      <c r="B706" s="22" t="n">
        <v>45873</v>
      </c>
      <c r="C706" s="21" t="inlineStr">
        <is>
          <t>R04</t>
        </is>
      </c>
      <c r="D706" s="21" t="inlineStr">
        <is>
          <t>P600</t>
        </is>
      </c>
      <c r="E706" s="21" t="n">
        <v>3</v>
      </c>
      <c r="F706" s="23" t="n">
        <v>0</v>
      </c>
      <c r="G706" s="24">
        <f>TEXT(B706,"mmm")</f>
        <v/>
      </c>
      <c r="H706" s="24">
        <f>HLOOKUP(C706,Lookups!$H$4:$K$5,2,FALSE)</f>
        <v/>
      </c>
      <c r="I706" s="24">
        <f>VLOOKUP(D706,Lookups!$A$5:$E$10,2,FALSE)</f>
        <v/>
      </c>
      <c r="J706" s="24">
        <f>VLOOKUP(D706,Lookups!$A$5:$E$10,3,FALSE)</f>
        <v/>
      </c>
      <c r="K706" s="25">
        <f>VLOOKUP(D706,Lookups!$A$5:$E$10,4,FALSE)</f>
        <v/>
      </c>
      <c r="L706" s="25">
        <f>E706*K706*(1-F706)</f>
        <v/>
      </c>
      <c r="M706" s="25">
        <f>L706*VLOOKUP(D706,Lookups!$A$5:$E$10,5,FALSE)</f>
        <v/>
      </c>
    </row>
    <row r="707">
      <c r="A707" s="21" t="inlineStr">
        <is>
          <t>INV-11094</t>
        </is>
      </c>
      <c r="B707" s="22" t="n">
        <v>45873</v>
      </c>
      <c r="C707" s="21" t="inlineStr">
        <is>
          <t>R04</t>
        </is>
      </c>
      <c r="D707" s="21" t="inlineStr">
        <is>
          <t>P300</t>
        </is>
      </c>
      <c r="E707" s="21" t="n">
        <v>12</v>
      </c>
      <c r="F707" s="23" t="n">
        <v>0.1</v>
      </c>
      <c r="G707" s="24">
        <f>TEXT(B707,"mmm")</f>
        <v/>
      </c>
      <c r="H707" s="24">
        <f>HLOOKUP(C707,Lookups!$H$4:$K$5,2,FALSE)</f>
        <v/>
      </c>
      <c r="I707" s="24">
        <f>VLOOKUP(D707,Lookups!$A$5:$E$10,2,FALSE)</f>
        <v/>
      </c>
      <c r="J707" s="24">
        <f>VLOOKUP(D707,Lookups!$A$5:$E$10,3,FALSE)</f>
        <v/>
      </c>
      <c r="K707" s="25">
        <f>VLOOKUP(D707,Lookups!$A$5:$E$10,4,FALSE)</f>
        <v/>
      </c>
      <c r="L707" s="25">
        <f>E707*K707*(1-F707)</f>
        <v/>
      </c>
      <c r="M707" s="25">
        <f>L707*VLOOKUP(D707,Lookups!$A$5:$E$10,5,FALSE)</f>
        <v/>
      </c>
    </row>
    <row r="708">
      <c r="A708" s="21" t="inlineStr">
        <is>
          <t>INV-10661</t>
        </is>
      </c>
      <c r="B708" s="22" t="n">
        <v>45874</v>
      </c>
      <c r="C708" s="21" t="inlineStr">
        <is>
          <t>R04</t>
        </is>
      </c>
      <c r="D708" s="21" t="inlineStr">
        <is>
          <t>P600</t>
        </is>
      </c>
      <c r="E708" s="21" t="n">
        <v>3</v>
      </c>
      <c r="F708" s="23" t="n">
        <v>0</v>
      </c>
      <c r="G708" s="24">
        <f>TEXT(B708,"mmm")</f>
        <v/>
      </c>
      <c r="H708" s="24">
        <f>HLOOKUP(C708,Lookups!$H$4:$K$5,2,FALSE)</f>
        <v/>
      </c>
      <c r="I708" s="24">
        <f>VLOOKUP(D708,Lookups!$A$5:$E$10,2,FALSE)</f>
        <v/>
      </c>
      <c r="J708" s="24">
        <f>VLOOKUP(D708,Lookups!$A$5:$E$10,3,FALSE)</f>
        <v/>
      </c>
      <c r="K708" s="25">
        <f>VLOOKUP(D708,Lookups!$A$5:$E$10,4,FALSE)</f>
        <v/>
      </c>
      <c r="L708" s="25">
        <f>E708*K708*(1-F708)</f>
        <v/>
      </c>
      <c r="M708" s="25">
        <f>L708*VLOOKUP(D708,Lookups!$A$5:$E$10,5,FALSE)</f>
        <v/>
      </c>
    </row>
    <row r="709">
      <c r="A709" s="21" t="inlineStr">
        <is>
          <t>INV-10899</t>
        </is>
      </c>
      <c r="B709" s="22" t="n">
        <v>45874</v>
      </c>
      <c r="C709" s="21" t="inlineStr">
        <is>
          <t>R01</t>
        </is>
      </c>
      <c r="D709" s="21" t="inlineStr">
        <is>
          <t>P100</t>
        </is>
      </c>
      <c r="E709" s="21" t="n">
        <v>1</v>
      </c>
      <c r="F709" s="23" t="n">
        <v>0.1</v>
      </c>
      <c r="G709" s="24">
        <f>TEXT(B709,"mmm")</f>
        <v/>
      </c>
      <c r="H709" s="24">
        <f>HLOOKUP(C709,Lookups!$H$4:$K$5,2,FALSE)</f>
        <v/>
      </c>
      <c r="I709" s="24">
        <f>VLOOKUP(D709,Lookups!$A$5:$E$10,2,FALSE)</f>
        <v/>
      </c>
      <c r="J709" s="24">
        <f>VLOOKUP(D709,Lookups!$A$5:$E$10,3,FALSE)</f>
        <v/>
      </c>
      <c r="K709" s="25">
        <f>VLOOKUP(D709,Lookups!$A$5:$E$10,4,FALSE)</f>
        <v/>
      </c>
      <c r="L709" s="25">
        <f>E709*K709*(1-F709)</f>
        <v/>
      </c>
      <c r="M709" s="25">
        <f>L709*VLOOKUP(D709,Lookups!$A$5:$E$10,5,FALSE)</f>
        <v/>
      </c>
    </row>
    <row r="710">
      <c r="A710" s="21" t="inlineStr">
        <is>
          <t>INV-11166</t>
        </is>
      </c>
      <c r="B710" s="22" t="n">
        <v>45874</v>
      </c>
      <c r="C710" s="21" t="inlineStr">
        <is>
          <t>R03</t>
        </is>
      </c>
      <c r="D710" s="21" t="inlineStr">
        <is>
          <t>P300</t>
        </is>
      </c>
      <c r="E710" s="21" t="n">
        <v>7</v>
      </c>
      <c r="F710" s="23" t="n">
        <v>0.05</v>
      </c>
      <c r="G710" s="24">
        <f>TEXT(B710,"mmm")</f>
        <v/>
      </c>
      <c r="H710" s="24">
        <f>HLOOKUP(C710,Lookups!$H$4:$K$5,2,FALSE)</f>
        <v/>
      </c>
      <c r="I710" s="24">
        <f>VLOOKUP(D710,Lookups!$A$5:$E$10,2,FALSE)</f>
        <v/>
      </c>
      <c r="J710" s="24">
        <f>VLOOKUP(D710,Lookups!$A$5:$E$10,3,FALSE)</f>
        <v/>
      </c>
      <c r="K710" s="25">
        <f>VLOOKUP(D710,Lookups!$A$5:$E$10,4,FALSE)</f>
        <v/>
      </c>
      <c r="L710" s="25">
        <f>E710*K710*(1-F710)</f>
        <v/>
      </c>
      <c r="M710" s="25">
        <f>L710*VLOOKUP(D710,Lookups!$A$5:$E$10,5,FALSE)</f>
        <v/>
      </c>
    </row>
    <row r="711">
      <c r="A711" s="21" t="inlineStr">
        <is>
          <t>INV-10107</t>
        </is>
      </c>
      <c r="B711" s="22" t="n">
        <v>45875</v>
      </c>
      <c r="C711" s="21" t="inlineStr">
        <is>
          <t>R02</t>
        </is>
      </c>
      <c r="D711" s="21" t="inlineStr">
        <is>
          <t>P200</t>
        </is>
      </c>
      <c r="E711" s="21" t="n">
        <v>23</v>
      </c>
      <c r="F711" s="23" t="n">
        <v>0.1</v>
      </c>
      <c r="G711" s="24">
        <f>TEXT(B711,"mmm")</f>
        <v/>
      </c>
      <c r="H711" s="24">
        <f>HLOOKUP(C711,Lookups!$H$4:$K$5,2,FALSE)</f>
        <v/>
      </c>
      <c r="I711" s="24">
        <f>VLOOKUP(D711,Lookups!$A$5:$E$10,2,FALSE)</f>
        <v/>
      </c>
      <c r="J711" s="24">
        <f>VLOOKUP(D711,Lookups!$A$5:$E$10,3,FALSE)</f>
        <v/>
      </c>
      <c r="K711" s="25">
        <f>VLOOKUP(D711,Lookups!$A$5:$E$10,4,FALSE)</f>
        <v/>
      </c>
      <c r="L711" s="25">
        <f>E711*K711*(1-F711)</f>
        <v/>
      </c>
      <c r="M711" s="25">
        <f>L711*VLOOKUP(D711,Lookups!$A$5:$E$10,5,FALSE)</f>
        <v/>
      </c>
    </row>
    <row r="712">
      <c r="A712" s="21" t="inlineStr">
        <is>
          <t>INV-10153</t>
        </is>
      </c>
      <c r="B712" s="22" t="n">
        <v>45875</v>
      </c>
      <c r="C712" s="21" t="inlineStr">
        <is>
          <t>R03</t>
        </is>
      </c>
      <c r="D712" s="21" t="inlineStr">
        <is>
          <t>P600</t>
        </is>
      </c>
      <c r="E712" s="21" t="n">
        <v>12</v>
      </c>
      <c r="F712" s="23" t="n">
        <v>0.1</v>
      </c>
      <c r="G712" s="24">
        <f>TEXT(B712,"mmm")</f>
        <v/>
      </c>
      <c r="H712" s="24">
        <f>HLOOKUP(C712,Lookups!$H$4:$K$5,2,FALSE)</f>
        <v/>
      </c>
      <c r="I712" s="24">
        <f>VLOOKUP(D712,Lookups!$A$5:$E$10,2,FALSE)</f>
        <v/>
      </c>
      <c r="J712" s="24">
        <f>VLOOKUP(D712,Lookups!$A$5:$E$10,3,FALSE)</f>
        <v/>
      </c>
      <c r="K712" s="25">
        <f>VLOOKUP(D712,Lookups!$A$5:$E$10,4,FALSE)</f>
        <v/>
      </c>
      <c r="L712" s="25">
        <f>E712*K712*(1-F712)</f>
        <v/>
      </c>
      <c r="M712" s="25">
        <f>L712*VLOOKUP(D712,Lookups!$A$5:$E$10,5,FALSE)</f>
        <v/>
      </c>
    </row>
    <row r="713">
      <c r="A713" s="21" t="inlineStr">
        <is>
          <t>INV-10615</t>
        </is>
      </c>
      <c r="B713" s="22" t="n">
        <v>45875</v>
      </c>
      <c r="C713" s="21" t="inlineStr">
        <is>
          <t>R02</t>
        </is>
      </c>
      <c r="D713" s="21" t="inlineStr">
        <is>
          <t>P100</t>
        </is>
      </c>
      <c r="E713" s="21" t="n">
        <v>10</v>
      </c>
      <c r="F713" s="23" t="n">
        <v>0</v>
      </c>
      <c r="G713" s="24">
        <f>TEXT(B713,"mmm")</f>
        <v/>
      </c>
      <c r="H713" s="24">
        <f>HLOOKUP(C713,Lookups!$H$4:$K$5,2,FALSE)</f>
        <v/>
      </c>
      <c r="I713" s="24">
        <f>VLOOKUP(D713,Lookups!$A$5:$E$10,2,FALSE)</f>
        <v/>
      </c>
      <c r="J713" s="24">
        <f>VLOOKUP(D713,Lookups!$A$5:$E$10,3,FALSE)</f>
        <v/>
      </c>
      <c r="K713" s="25">
        <f>VLOOKUP(D713,Lookups!$A$5:$E$10,4,FALSE)</f>
        <v/>
      </c>
      <c r="L713" s="25">
        <f>E713*K713*(1-F713)</f>
        <v/>
      </c>
      <c r="M713" s="25">
        <f>L713*VLOOKUP(D713,Lookups!$A$5:$E$10,5,FALSE)</f>
        <v/>
      </c>
    </row>
    <row r="714">
      <c r="A714" s="21" t="inlineStr">
        <is>
          <t>INV-10855</t>
        </is>
      </c>
      <c r="B714" s="22" t="n">
        <v>45876</v>
      </c>
      <c r="C714" s="21" t="inlineStr">
        <is>
          <t>R01</t>
        </is>
      </c>
      <c r="D714" s="21" t="inlineStr">
        <is>
          <t>P600</t>
        </is>
      </c>
      <c r="E714" s="21" t="n">
        <v>4</v>
      </c>
      <c r="F714" s="23" t="n">
        <v>0</v>
      </c>
      <c r="G714" s="24">
        <f>TEXT(B714,"mmm")</f>
        <v/>
      </c>
      <c r="H714" s="24">
        <f>HLOOKUP(C714,Lookups!$H$4:$K$5,2,FALSE)</f>
        <v/>
      </c>
      <c r="I714" s="24">
        <f>VLOOKUP(D714,Lookups!$A$5:$E$10,2,FALSE)</f>
        <v/>
      </c>
      <c r="J714" s="24">
        <f>VLOOKUP(D714,Lookups!$A$5:$E$10,3,FALSE)</f>
        <v/>
      </c>
      <c r="K714" s="25">
        <f>VLOOKUP(D714,Lookups!$A$5:$E$10,4,FALSE)</f>
        <v/>
      </c>
      <c r="L714" s="25">
        <f>E714*K714*(1-F714)</f>
        <v/>
      </c>
      <c r="M714" s="25">
        <f>L714*VLOOKUP(D714,Lookups!$A$5:$E$10,5,FALSE)</f>
        <v/>
      </c>
    </row>
    <row r="715">
      <c r="A715" s="21" t="inlineStr">
        <is>
          <t>INV-10911</t>
        </is>
      </c>
      <c r="B715" s="22" t="n">
        <v>45877</v>
      </c>
      <c r="C715" s="21" t="inlineStr">
        <is>
          <t>R03</t>
        </is>
      </c>
      <c r="D715" s="21" t="inlineStr">
        <is>
          <t>P300</t>
        </is>
      </c>
      <c r="E715" s="21" t="n">
        <v>5</v>
      </c>
      <c r="F715" s="23" t="n">
        <v>0</v>
      </c>
      <c r="G715" s="24">
        <f>TEXT(B715,"mmm")</f>
        <v/>
      </c>
      <c r="H715" s="24">
        <f>HLOOKUP(C715,Lookups!$H$4:$K$5,2,FALSE)</f>
        <v/>
      </c>
      <c r="I715" s="24">
        <f>VLOOKUP(D715,Lookups!$A$5:$E$10,2,FALSE)</f>
        <v/>
      </c>
      <c r="J715" s="24">
        <f>VLOOKUP(D715,Lookups!$A$5:$E$10,3,FALSE)</f>
        <v/>
      </c>
      <c r="K715" s="25">
        <f>VLOOKUP(D715,Lookups!$A$5:$E$10,4,FALSE)</f>
        <v/>
      </c>
      <c r="L715" s="25">
        <f>E715*K715*(1-F715)</f>
        <v/>
      </c>
      <c r="M715" s="25">
        <f>L715*VLOOKUP(D715,Lookups!$A$5:$E$10,5,FALSE)</f>
        <v/>
      </c>
    </row>
    <row r="716">
      <c r="A716" s="21" t="inlineStr">
        <is>
          <t>INV-10565</t>
        </is>
      </c>
      <c r="B716" s="22" t="n">
        <v>45878</v>
      </c>
      <c r="C716" s="21" t="inlineStr">
        <is>
          <t>R02</t>
        </is>
      </c>
      <c r="D716" s="21" t="inlineStr">
        <is>
          <t>P600</t>
        </is>
      </c>
      <c r="E716" s="21" t="n">
        <v>10</v>
      </c>
      <c r="F716" s="23" t="n">
        <v>0.05</v>
      </c>
      <c r="G716" s="24">
        <f>TEXT(B716,"mmm")</f>
        <v/>
      </c>
      <c r="H716" s="24">
        <f>HLOOKUP(C716,Lookups!$H$4:$K$5,2,FALSE)</f>
        <v/>
      </c>
      <c r="I716" s="24">
        <f>VLOOKUP(D716,Lookups!$A$5:$E$10,2,FALSE)</f>
        <v/>
      </c>
      <c r="J716" s="24">
        <f>VLOOKUP(D716,Lookups!$A$5:$E$10,3,FALSE)</f>
        <v/>
      </c>
      <c r="K716" s="25">
        <f>VLOOKUP(D716,Lookups!$A$5:$E$10,4,FALSE)</f>
        <v/>
      </c>
      <c r="L716" s="25">
        <f>E716*K716*(1-F716)</f>
        <v/>
      </c>
      <c r="M716" s="25">
        <f>L716*VLOOKUP(D716,Lookups!$A$5:$E$10,5,FALSE)</f>
        <v/>
      </c>
    </row>
    <row r="717">
      <c r="A717" s="21" t="inlineStr">
        <is>
          <t>INV-10580</t>
        </is>
      </c>
      <c r="B717" s="22" t="n">
        <v>45878</v>
      </c>
      <c r="C717" s="21" t="inlineStr">
        <is>
          <t>R01</t>
        </is>
      </c>
      <c r="D717" s="21" t="inlineStr">
        <is>
          <t>P100</t>
        </is>
      </c>
      <c r="E717" s="21" t="n">
        <v>4</v>
      </c>
      <c r="F717" s="23" t="n">
        <v>0.05</v>
      </c>
      <c r="G717" s="24">
        <f>TEXT(B717,"mmm")</f>
        <v/>
      </c>
      <c r="H717" s="24">
        <f>HLOOKUP(C717,Lookups!$H$4:$K$5,2,FALSE)</f>
        <v/>
      </c>
      <c r="I717" s="24">
        <f>VLOOKUP(D717,Lookups!$A$5:$E$10,2,FALSE)</f>
        <v/>
      </c>
      <c r="J717" s="24">
        <f>VLOOKUP(D717,Lookups!$A$5:$E$10,3,FALSE)</f>
        <v/>
      </c>
      <c r="K717" s="25">
        <f>VLOOKUP(D717,Lookups!$A$5:$E$10,4,FALSE)</f>
        <v/>
      </c>
      <c r="L717" s="25">
        <f>E717*K717*(1-F717)</f>
        <v/>
      </c>
      <c r="M717" s="25">
        <f>L717*VLOOKUP(D717,Lookups!$A$5:$E$10,5,FALSE)</f>
        <v/>
      </c>
    </row>
    <row r="718">
      <c r="A718" s="21" t="inlineStr">
        <is>
          <t>INV-10933</t>
        </is>
      </c>
      <c r="B718" s="22" t="n">
        <v>45879</v>
      </c>
      <c r="C718" s="21" t="inlineStr">
        <is>
          <t>R01</t>
        </is>
      </c>
      <c r="D718" s="21" t="inlineStr">
        <is>
          <t>P300</t>
        </is>
      </c>
      <c r="E718" s="21" t="n">
        <v>13</v>
      </c>
      <c r="F718" s="23" t="n">
        <v>0</v>
      </c>
      <c r="G718" s="24">
        <f>TEXT(B718,"mmm")</f>
        <v/>
      </c>
      <c r="H718" s="24">
        <f>HLOOKUP(C718,Lookups!$H$4:$K$5,2,FALSE)</f>
        <v/>
      </c>
      <c r="I718" s="24">
        <f>VLOOKUP(D718,Lookups!$A$5:$E$10,2,FALSE)</f>
        <v/>
      </c>
      <c r="J718" s="24">
        <f>VLOOKUP(D718,Lookups!$A$5:$E$10,3,FALSE)</f>
        <v/>
      </c>
      <c r="K718" s="25">
        <f>VLOOKUP(D718,Lookups!$A$5:$E$10,4,FALSE)</f>
        <v/>
      </c>
      <c r="L718" s="25">
        <f>E718*K718*(1-F718)</f>
        <v/>
      </c>
      <c r="M718" s="25">
        <f>L718*VLOOKUP(D718,Lookups!$A$5:$E$10,5,FALSE)</f>
        <v/>
      </c>
    </row>
    <row r="719">
      <c r="A719" s="21" t="inlineStr">
        <is>
          <t>INV-10142</t>
        </is>
      </c>
      <c r="B719" s="22" t="n">
        <v>45880</v>
      </c>
      <c r="C719" s="21" t="inlineStr">
        <is>
          <t>R03</t>
        </is>
      </c>
      <c r="D719" s="21" t="inlineStr">
        <is>
          <t>P200</t>
        </is>
      </c>
      <c r="E719" s="21" t="n">
        <v>20</v>
      </c>
      <c r="F719" s="23" t="n">
        <v>0.1</v>
      </c>
      <c r="G719" s="24">
        <f>TEXT(B719,"mmm")</f>
        <v/>
      </c>
      <c r="H719" s="24">
        <f>HLOOKUP(C719,Lookups!$H$4:$K$5,2,FALSE)</f>
        <v/>
      </c>
      <c r="I719" s="24">
        <f>VLOOKUP(D719,Lookups!$A$5:$E$10,2,FALSE)</f>
        <v/>
      </c>
      <c r="J719" s="24">
        <f>VLOOKUP(D719,Lookups!$A$5:$E$10,3,FALSE)</f>
        <v/>
      </c>
      <c r="K719" s="25">
        <f>VLOOKUP(D719,Lookups!$A$5:$E$10,4,FALSE)</f>
        <v/>
      </c>
      <c r="L719" s="25">
        <f>E719*K719*(1-F719)</f>
        <v/>
      </c>
      <c r="M719" s="25">
        <f>L719*VLOOKUP(D719,Lookups!$A$5:$E$10,5,FALSE)</f>
        <v/>
      </c>
    </row>
    <row r="720">
      <c r="A720" s="21" t="inlineStr">
        <is>
          <t>INV-10693</t>
        </is>
      </c>
      <c r="B720" s="22" t="n">
        <v>45880</v>
      </c>
      <c r="C720" s="21" t="inlineStr">
        <is>
          <t>R02</t>
        </is>
      </c>
      <c r="D720" s="21" t="inlineStr">
        <is>
          <t>P600</t>
        </is>
      </c>
      <c r="E720" s="21" t="n">
        <v>8</v>
      </c>
      <c r="F720" s="23" t="n">
        <v>0.05</v>
      </c>
      <c r="G720" s="24">
        <f>TEXT(B720,"mmm")</f>
        <v/>
      </c>
      <c r="H720" s="24">
        <f>HLOOKUP(C720,Lookups!$H$4:$K$5,2,FALSE)</f>
        <v/>
      </c>
      <c r="I720" s="24">
        <f>VLOOKUP(D720,Lookups!$A$5:$E$10,2,FALSE)</f>
        <v/>
      </c>
      <c r="J720" s="24">
        <f>VLOOKUP(D720,Lookups!$A$5:$E$10,3,FALSE)</f>
        <v/>
      </c>
      <c r="K720" s="25">
        <f>VLOOKUP(D720,Lookups!$A$5:$E$10,4,FALSE)</f>
        <v/>
      </c>
      <c r="L720" s="25">
        <f>E720*K720*(1-F720)</f>
        <v/>
      </c>
      <c r="M720" s="25">
        <f>L720*VLOOKUP(D720,Lookups!$A$5:$E$10,5,FALSE)</f>
        <v/>
      </c>
    </row>
    <row r="721">
      <c r="A721" s="21" t="inlineStr">
        <is>
          <t>INV-10091</t>
        </is>
      </c>
      <c r="B721" s="22" t="n">
        <v>45881</v>
      </c>
      <c r="C721" s="21" t="inlineStr">
        <is>
          <t>R01</t>
        </is>
      </c>
      <c r="D721" s="21" t="inlineStr">
        <is>
          <t>P500</t>
        </is>
      </c>
      <c r="E721" s="21" t="n">
        <v>13</v>
      </c>
      <c r="F721" s="23" t="n">
        <v>0</v>
      </c>
      <c r="G721" s="24">
        <f>TEXT(B721,"mmm")</f>
        <v/>
      </c>
      <c r="H721" s="24">
        <f>HLOOKUP(C721,Lookups!$H$4:$K$5,2,FALSE)</f>
        <v/>
      </c>
      <c r="I721" s="24">
        <f>VLOOKUP(D721,Lookups!$A$5:$E$10,2,FALSE)</f>
        <v/>
      </c>
      <c r="J721" s="24">
        <f>VLOOKUP(D721,Lookups!$A$5:$E$10,3,FALSE)</f>
        <v/>
      </c>
      <c r="K721" s="25">
        <f>VLOOKUP(D721,Lookups!$A$5:$E$10,4,FALSE)</f>
        <v/>
      </c>
      <c r="L721" s="25">
        <f>E721*K721*(1-F721)</f>
        <v/>
      </c>
      <c r="M721" s="25">
        <f>L721*VLOOKUP(D721,Lookups!$A$5:$E$10,5,FALSE)</f>
        <v/>
      </c>
    </row>
    <row r="722">
      <c r="A722" s="21" t="inlineStr">
        <is>
          <t>INV-10545</t>
        </is>
      </c>
      <c r="B722" s="22" t="n">
        <v>45881</v>
      </c>
      <c r="C722" s="21" t="inlineStr">
        <is>
          <t>R01</t>
        </is>
      </c>
      <c r="D722" s="21" t="inlineStr">
        <is>
          <t>P200</t>
        </is>
      </c>
      <c r="E722" s="21" t="n">
        <v>11</v>
      </c>
      <c r="F722" s="23" t="n">
        <v>0.1</v>
      </c>
      <c r="G722" s="24">
        <f>TEXT(B722,"mmm")</f>
        <v/>
      </c>
      <c r="H722" s="24">
        <f>HLOOKUP(C722,Lookups!$H$4:$K$5,2,FALSE)</f>
        <v/>
      </c>
      <c r="I722" s="24">
        <f>VLOOKUP(D722,Lookups!$A$5:$E$10,2,FALSE)</f>
        <v/>
      </c>
      <c r="J722" s="24">
        <f>VLOOKUP(D722,Lookups!$A$5:$E$10,3,FALSE)</f>
        <v/>
      </c>
      <c r="K722" s="25">
        <f>VLOOKUP(D722,Lookups!$A$5:$E$10,4,FALSE)</f>
        <v/>
      </c>
      <c r="L722" s="25">
        <f>E722*K722*(1-F722)</f>
        <v/>
      </c>
      <c r="M722" s="25">
        <f>L722*VLOOKUP(D722,Lookups!$A$5:$E$10,5,FALSE)</f>
        <v/>
      </c>
    </row>
    <row r="723">
      <c r="A723" s="21" t="inlineStr">
        <is>
          <t>INV-10177</t>
        </is>
      </c>
      <c r="B723" s="22" t="n">
        <v>45882</v>
      </c>
      <c r="C723" s="21" t="inlineStr">
        <is>
          <t>R04</t>
        </is>
      </c>
      <c r="D723" s="21" t="inlineStr">
        <is>
          <t>P100</t>
        </is>
      </c>
      <c r="E723" s="21" t="n">
        <v>23</v>
      </c>
      <c r="F723" s="23" t="n">
        <v>0.05</v>
      </c>
      <c r="G723" s="24">
        <f>TEXT(B723,"mmm")</f>
        <v/>
      </c>
      <c r="H723" s="24">
        <f>HLOOKUP(C723,Lookups!$H$4:$K$5,2,FALSE)</f>
        <v/>
      </c>
      <c r="I723" s="24">
        <f>VLOOKUP(D723,Lookups!$A$5:$E$10,2,FALSE)</f>
        <v/>
      </c>
      <c r="J723" s="24">
        <f>VLOOKUP(D723,Lookups!$A$5:$E$10,3,FALSE)</f>
        <v/>
      </c>
      <c r="K723" s="25">
        <f>VLOOKUP(D723,Lookups!$A$5:$E$10,4,FALSE)</f>
        <v/>
      </c>
      <c r="L723" s="25">
        <f>E723*K723*(1-F723)</f>
        <v/>
      </c>
      <c r="M723" s="25">
        <f>L723*VLOOKUP(D723,Lookups!$A$5:$E$10,5,FALSE)</f>
        <v/>
      </c>
    </row>
    <row r="724">
      <c r="A724" s="21" t="inlineStr">
        <is>
          <t>INV-10179</t>
        </is>
      </c>
      <c r="B724" s="22" t="n">
        <v>45882</v>
      </c>
      <c r="C724" s="21" t="inlineStr">
        <is>
          <t>R01</t>
        </is>
      </c>
      <c r="D724" s="21" t="inlineStr">
        <is>
          <t>P100</t>
        </is>
      </c>
      <c r="E724" s="21" t="n">
        <v>14</v>
      </c>
      <c r="F724" s="23" t="n">
        <v>0.05</v>
      </c>
      <c r="G724" s="24">
        <f>TEXT(B724,"mmm")</f>
        <v/>
      </c>
      <c r="H724" s="24">
        <f>HLOOKUP(C724,Lookups!$H$4:$K$5,2,FALSE)</f>
        <v/>
      </c>
      <c r="I724" s="24">
        <f>VLOOKUP(D724,Lookups!$A$5:$E$10,2,FALSE)</f>
        <v/>
      </c>
      <c r="J724" s="24">
        <f>VLOOKUP(D724,Lookups!$A$5:$E$10,3,FALSE)</f>
        <v/>
      </c>
      <c r="K724" s="25">
        <f>VLOOKUP(D724,Lookups!$A$5:$E$10,4,FALSE)</f>
        <v/>
      </c>
      <c r="L724" s="25">
        <f>E724*K724*(1-F724)</f>
        <v/>
      </c>
      <c r="M724" s="25">
        <f>L724*VLOOKUP(D724,Lookups!$A$5:$E$10,5,FALSE)</f>
        <v/>
      </c>
    </row>
    <row r="725">
      <c r="A725" s="21" t="inlineStr">
        <is>
          <t>INV-10857</t>
        </is>
      </c>
      <c r="B725" s="22" t="n">
        <v>45882</v>
      </c>
      <c r="C725" s="21" t="inlineStr">
        <is>
          <t>R03</t>
        </is>
      </c>
      <c r="D725" s="21" t="inlineStr">
        <is>
          <t>P500</t>
        </is>
      </c>
      <c r="E725" s="21" t="n">
        <v>24</v>
      </c>
      <c r="F725" s="23" t="n">
        <v>0</v>
      </c>
      <c r="G725" s="24">
        <f>TEXT(B725,"mmm")</f>
        <v/>
      </c>
      <c r="H725" s="24">
        <f>HLOOKUP(C725,Lookups!$H$4:$K$5,2,FALSE)</f>
        <v/>
      </c>
      <c r="I725" s="24">
        <f>VLOOKUP(D725,Lookups!$A$5:$E$10,2,FALSE)</f>
        <v/>
      </c>
      <c r="J725" s="24">
        <f>VLOOKUP(D725,Lookups!$A$5:$E$10,3,FALSE)</f>
        <v/>
      </c>
      <c r="K725" s="25">
        <f>VLOOKUP(D725,Lookups!$A$5:$E$10,4,FALSE)</f>
        <v/>
      </c>
      <c r="L725" s="25">
        <f>E725*K725*(1-F725)</f>
        <v/>
      </c>
      <c r="M725" s="25">
        <f>L725*VLOOKUP(D725,Lookups!$A$5:$E$10,5,FALSE)</f>
        <v/>
      </c>
    </row>
    <row r="726">
      <c r="A726" s="21" t="inlineStr">
        <is>
          <t>INV-11092</t>
        </is>
      </c>
      <c r="B726" s="22" t="n">
        <v>45882</v>
      </c>
      <c r="C726" s="21" t="inlineStr">
        <is>
          <t>R01</t>
        </is>
      </c>
      <c r="D726" s="21" t="inlineStr">
        <is>
          <t>P600</t>
        </is>
      </c>
      <c r="E726" s="21" t="n">
        <v>8</v>
      </c>
      <c r="F726" s="23" t="n">
        <v>0</v>
      </c>
      <c r="G726" s="24">
        <f>TEXT(B726,"mmm")</f>
        <v/>
      </c>
      <c r="H726" s="24">
        <f>HLOOKUP(C726,Lookups!$H$4:$K$5,2,FALSE)</f>
        <v/>
      </c>
      <c r="I726" s="24">
        <f>VLOOKUP(D726,Lookups!$A$5:$E$10,2,FALSE)</f>
        <v/>
      </c>
      <c r="J726" s="24">
        <f>VLOOKUP(D726,Lookups!$A$5:$E$10,3,FALSE)</f>
        <v/>
      </c>
      <c r="K726" s="25">
        <f>VLOOKUP(D726,Lookups!$A$5:$E$10,4,FALSE)</f>
        <v/>
      </c>
      <c r="L726" s="25">
        <f>E726*K726*(1-F726)</f>
        <v/>
      </c>
      <c r="M726" s="25">
        <f>L726*VLOOKUP(D726,Lookups!$A$5:$E$10,5,FALSE)</f>
        <v/>
      </c>
    </row>
    <row r="727">
      <c r="A727" s="21" t="inlineStr">
        <is>
          <t>INV-10366</t>
        </is>
      </c>
      <c r="B727" s="22" t="n">
        <v>45883</v>
      </c>
      <c r="C727" s="21" t="inlineStr">
        <is>
          <t>R03</t>
        </is>
      </c>
      <c r="D727" s="21" t="inlineStr">
        <is>
          <t>P400</t>
        </is>
      </c>
      <c r="E727" s="21" t="n">
        <v>6</v>
      </c>
      <c r="F727" s="23" t="n">
        <v>0.1</v>
      </c>
      <c r="G727" s="24">
        <f>TEXT(B727,"mmm")</f>
        <v/>
      </c>
      <c r="H727" s="24">
        <f>HLOOKUP(C727,Lookups!$H$4:$K$5,2,FALSE)</f>
        <v/>
      </c>
      <c r="I727" s="24">
        <f>VLOOKUP(D727,Lookups!$A$5:$E$10,2,FALSE)</f>
        <v/>
      </c>
      <c r="J727" s="24">
        <f>VLOOKUP(D727,Lookups!$A$5:$E$10,3,FALSE)</f>
        <v/>
      </c>
      <c r="K727" s="25">
        <f>VLOOKUP(D727,Lookups!$A$5:$E$10,4,FALSE)</f>
        <v/>
      </c>
      <c r="L727" s="25">
        <f>E727*K727*(1-F727)</f>
        <v/>
      </c>
      <c r="M727" s="25">
        <f>L727*VLOOKUP(D727,Lookups!$A$5:$E$10,5,FALSE)</f>
        <v/>
      </c>
    </row>
    <row r="728">
      <c r="A728" s="21" t="inlineStr">
        <is>
          <t>INV-10635</t>
        </is>
      </c>
      <c r="B728" s="22" t="n">
        <v>45883</v>
      </c>
      <c r="C728" s="21" t="inlineStr">
        <is>
          <t>R01</t>
        </is>
      </c>
      <c r="D728" s="21" t="inlineStr">
        <is>
          <t>P400</t>
        </is>
      </c>
      <c r="E728" s="21" t="n">
        <v>14</v>
      </c>
      <c r="F728" s="23" t="n">
        <v>0</v>
      </c>
      <c r="G728" s="24">
        <f>TEXT(B728,"mmm")</f>
        <v/>
      </c>
      <c r="H728" s="24">
        <f>HLOOKUP(C728,Lookups!$H$4:$K$5,2,FALSE)</f>
        <v/>
      </c>
      <c r="I728" s="24">
        <f>VLOOKUP(D728,Lookups!$A$5:$E$10,2,FALSE)</f>
        <v/>
      </c>
      <c r="J728" s="24">
        <f>VLOOKUP(D728,Lookups!$A$5:$E$10,3,FALSE)</f>
        <v/>
      </c>
      <c r="K728" s="25">
        <f>VLOOKUP(D728,Lookups!$A$5:$E$10,4,FALSE)</f>
        <v/>
      </c>
      <c r="L728" s="25">
        <f>E728*K728*(1-F728)</f>
        <v/>
      </c>
      <c r="M728" s="25">
        <f>L728*VLOOKUP(D728,Lookups!$A$5:$E$10,5,FALSE)</f>
        <v/>
      </c>
    </row>
    <row r="729">
      <c r="A729" s="21" t="inlineStr">
        <is>
          <t>INV-10975</t>
        </is>
      </c>
      <c r="B729" s="22" t="n">
        <v>45883</v>
      </c>
      <c r="C729" s="21" t="inlineStr">
        <is>
          <t>R02</t>
        </is>
      </c>
      <c r="D729" s="21" t="inlineStr">
        <is>
          <t>P200</t>
        </is>
      </c>
      <c r="E729" s="21" t="n">
        <v>3</v>
      </c>
      <c r="F729" s="23" t="n">
        <v>0.05</v>
      </c>
      <c r="G729" s="24">
        <f>TEXT(B729,"mmm")</f>
        <v/>
      </c>
      <c r="H729" s="24">
        <f>HLOOKUP(C729,Lookups!$H$4:$K$5,2,FALSE)</f>
        <v/>
      </c>
      <c r="I729" s="24">
        <f>VLOOKUP(D729,Lookups!$A$5:$E$10,2,FALSE)</f>
        <v/>
      </c>
      <c r="J729" s="24">
        <f>VLOOKUP(D729,Lookups!$A$5:$E$10,3,FALSE)</f>
        <v/>
      </c>
      <c r="K729" s="25">
        <f>VLOOKUP(D729,Lookups!$A$5:$E$10,4,FALSE)</f>
        <v/>
      </c>
      <c r="L729" s="25">
        <f>E729*K729*(1-F729)</f>
        <v/>
      </c>
      <c r="M729" s="25">
        <f>L729*VLOOKUP(D729,Lookups!$A$5:$E$10,5,FALSE)</f>
        <v/>
      </c>
    </row>
    <row r="730">
      <c r="A730" s="21" t="inlineStr">
        <is>
          <t>INV-11169</t>
        </is>
      </c>
      <c r="B730" s="22" t="n">
        <v>45883</v>
      </c>
      <c r="C730" s="21" t="inlineStr">
        <is>
          <t>R02</t>
        </is>
      </c>
      <c r="D730" s="21" t="inlineStr">
        <is>
          <t>P100</t>
        </is>
      </c>
      <c r="E730" s="21" t="n">
        <v>7</v>
      </c>
      <c r="F730" s="23" t="n">
        <v>0.05</v>
      </c>
      <c r="G730" s="24">
        <f>TEXT(B730,"mmm")</f>
        <v/>
      </c>
      <c r="H730" s="24">
        <f>HLOOKUP(C730,Lookups!$H$4:$K$5,2,FALSE)</f>
        <v/>
      </c>
      <c r="I730" s="24">
        <f>VLOOKUP(D730,Lookups!$A$5:$E$10,2,FALSE)</f>
        <v/>
      </c>
      <c r="J730" s="24">
        <f>VLOOKUP(D730,Lookups!$A$5:$E$10,3,FALSE)</f>
        <v/>
      </c>
      <c r="K730" s="25">
        <f>VLOOKUP(D730,Lookups!$A$5:$E$10,4,FALSE)</f>
        <v/>
      </c>
      <c r="L730" s="25">
        <f>E730*K730*(1-F730)</f>
        <v/>
      </c>
      <c r="M730" s="25">
        <f>L730*VLOOKUP(D730,Lookups!$A$5:$E$10,5,FALSE)</f>
        <v/>
      </c>
    </row>
    <row r="731">
      <c r="A731" s="21" t="inlineStr">
        <is>
          <t>INV-10100</t>
        </is>
      </c>
      <c r="B731" s="22" t="n">
        <v>45884</v>
      </c>
      <c r="C731" s="21" t="inlineStr">
        <is>
          <t>R02</t>
        </is>
      </c>
      <c r="D731" s="21" t="inlineStr">
        <is>
          <t>P600</t>
        </is>
      </c>
      <c r="E731" s="21" t="n">
        <v>17</v>
      </c>
      <c r="F731" s="23" t="n">
        <v>0.1</v>
      </c>
      <c r="G731" s="24">
        <f>TEXT(B731,"mmm")</f>
        <v/>
      </c>
      <c r="H731" s="24">
        <f>HLOOKUP(C731,Lookups!$H$4:$K$5,2,FALSE)</f>
        <v/>
      </c>
      <c r="I731" s="24">
        <f>VLOOKUP(D731,Lookups!$A$5:$E$10,2,FALSE)</f>
        <v/>
      </c>
      <c r="J731" s="24">
        <f>VLOOKUP(D731,Lookups!$A$5:$E$10,3,FALSE)</f>
        <v/>
      </c>
      <c r="K731" s="25">
        <f>VLOOKUP(D731,Lookups!$A$5:$E$10,4,FALSE)</f>
        <v/>
      </c>
      <c r="L731" s="25">
        <f>E731*K731*(1-F731)</f>
        <v/>
      </c>
      <c r="M731" s="25">
        <f>L731*VLOOKUP(D731,Lookups!$A$5:$E$10,5,FALSE)</f>
        <v/>
      </c>
    </row>
    <row r="732">
      <c r="A732" s="21" t="inlineStr">
        <is>
          <t>INV-10249</t>
        </is>
      </c>
      <c r="B732" s="22" t="n">
        <v>45885</v>
      </c>
      <c r="C732" s="21" t="inlineStr">
        <is>
          <t>R03</t>
        </is>
      </c>
      <c r="D732" s="21" t="inlineStr">
        <is>
          <t>P200</t>
        </is>
      </c>
      <c r="E732" s="21" t="n">
        <v>4</v>
      </c>
      <c r="F732" s="23" t="n">
        <v>0.05</v>
      </c>
      <c r="G732" s="24">
        <f>TEXT(B732,"mmm")</f>
        <v/>
      </c>
      <c r="H732" s="24">
        <f>HLOOKUP(C732,Lookups!$H$4:$K$5,2,FALSE)</f>
        <v/>
      </c>
      <c r="I732" s="24">
        <f>VLOOKUP(D732,Lookups!$A$5:$E$10,2,FALSE)</f>
        <v/>
      </c>
      <c r="J732" s="24">
        <f>VLOOKUP(D732,Lookups!$A$5:$E$10,3,FALSE)</f>
        <v/>
      </c>
      <c r="K732" s="25">
        <f>VLOOKUP(D732,Lookups!$A$5:$E$10,4,FALSE)</f>
        <v/>
      </c>
      <c r="L732" s="25">
        <f>E732*K732*(1-F732)</f>
        <v/>
      </c>
      <c r="M732" s="25">
        <f>L732*VLOOKUP(D732,Lookups!$A$5:$E$10,5,FALSE)</f>
        <v/>
      </c>
    </row>
    <row r="733">
      <c r="A733" s="21" t="inlineStr">
        <is>
          <t>INV-10333</t>
        </is>
      </c>
      <c r="B733" s="22" t="n">
        <v>45885</v>
      </c>
      <c r="C733" s="21" t="inlineStr">
        <is>
          <t>R03</t>
        </is>
      </c>
      <c r="D733" s="21" t="inlineStr">
        <is>
          <t>P500</t>
        </is>
      </c>
      <c r="E733" s="21" t="n">
        <v>25</v>
      </c>
      <c r="F733" s="23" t="n">
        <v>0.1</v>
      </c>
      <c r="G733" s="24">
        <f>TEXT(B733,"mmm")</f>
        <v/>
      </c>
      <c r="H733" s="24">
        <f>HLOOKUP(C733,Lookups!$H$4:$K$5,2,FALSE)</f>
        <v/>
      </c>
      <c r="I733" s="24">
        <f>VLOOKUP(D733,Lookups!$A$5:$E$10,2,FALSE)</f>
        <v/>
      </c>
      <c r="J733" s="24">
        <f>VLOOKUP(D733,Lookups!$A$5:$E$10,3,FALSE)</f>
        <v/>
      </c>
      <c r="K733" s="25">
        <f>VLOOKUP(D733,Lookups!$A$5:$E$10,4,FALSE)</f>
        <v/>
      </c>
      <c r="L733" s="25">
        <f>E733*K733*(1-F733)</f>
        <v/>
      </c>
      <c r="M733" s="25">
        <f>L733*VLOOKUP(D733,Lookups!$A$5:$E$10,5,FALSE)</f>
        <v/>
      </c>
    </row>
    <row r="734">
      <c r="A734" s="21" t="inlineStr">
        <is>
          <t>INV-10743</t>
        </is>
      </c>
      <c r="B734" s="22" t="n">
        <v>45886</v>
      </c>
      <c r="C734" s="21" t="inlineStr">
        <is>
          <t>R03</t>
        </is>
      </c>
      <c r="D734" s="21" t="inlineStr">
        <is>
          <t>P100</t>
        </is>
      </c>
      <c r="E734" s="21" t="n">
        <v>7</v>
      </c>
      <c r="F734" s="23" t="n">
        <v>0</v>
      </c>
      <c r="G734" s="24">
        <f>TEXT(B734,"mmm")</f>
        <v/>
      </c>
      <c r="H734" s="24">
        <f>HLOOKUP(C734,Lookups!$H$4:$K$5,2,FALSE)</f>
        <v/>
      </c>
      <c r="I734" s="24">
        <f>VLOOKUP(D734,Lookups!$A$5:$E$10,2,FALSE)</f>
        <v/>
      </c>
      <c r="J734" s="24">
        <f>VLOOKUP(D734,Lookups!$A$5:$E$10,3,FALSE)</f>
        <v/>
      </c>
      <c r="K734" s="25">
        <f>VLOOKUP(D734,Lookups!$A$5:$E$10,4,FALSE)</f>
        <v/>
      </c>
      <c r="L734" s="25">
        <f>E734*K734*(1-F734)</f>
        <v/>
      </c>
      <c r="M734" s="25">
        <f>L734*VLOOKUP(D734,Lookups!$A$5:$E$10,5,FALSE)</f>
        <v/>
      </c>
    </row>
    <row r="735">
      <c r="A735" s="21" t="inlineStr">
        <is>
          <t>INV-10763</t>
        </is>
      </c>
      <c r="B735" s="22" t="n">
        <v>45886</v>
      </c>
      <c r="C735" s="21" t="inlineStr">
        <is>
          <t>R03</t>
        </is>
      </c>
      <c r="D735" s="21" t="inlineStr">
        <is>
          <t>P100</t>
        </is>
      </c>
      <c r="E735" s="21" t="n">
        <v>15</v>
      </c>
      <c r="F735" s="23" t="n">
        <v>0.1</v>
      </c>
      <c r="G735" s="24">
        <f>TEXT(B735,"mmm")</f>
        <v/>
      </c>
      <c r="H735" s="24">
        <f>HLOOKUP(C735,Lookups!$H$4:$K$5,2,FALSE)</f>
        <v/>
      </c>
      <c r="I735" s="24">
        <f>VLOOKUP(D735,Lookups!$A$5:$E$10,2,FALSE)</f>
        <v/>
      </c>
      <c r="J735" s="24">
        <f>VLOOKUP(D735,Lookups!$A$5:$E$10,3,FALSE)</f>
        <v/>
      </c>
      <c r="K735" s="25">
        <f>VLOOKUP(D735,Lookups!$A$5:$E$10,4,FALSE)</f>
        <v/>
      </c>
      <c r="L735" s="25">
        <f>E735*K735*(1-F735)</f>
        <v/>
      </c>
      <c r="M735" s="25">
        <f>L735*VLOOKUP(D735,Lookups!$A$5:$E$10,5,FALSE)</f>
        <v/>
      </c>
    </row>
    <row r="736">
      <c r="A736" s="21" t="inlineStr">
        <is>
          <t>INV-10955</t>
        </is>
      </c>
      <c r="B736" s="22" t="n">
        <v>45886</v>
      </c>
      <c r="C736" s="21" t="inlineStr">
        <is>
          <t>R03</t>
        </is>
      </c>
      <c r="D736" s="21" t="inlineStr">
        <is>
          <t>P300</t>
        </is>
      </c>
      <c r="E736" s="21" t="n">
        <v>16</v>
      </c>
      <c r="F736" s="23" t="n">
        <v>0</v>
      </c>
      <c r="G736" s="24">
        <f>TEXT(B736,"mmm")</f>
        <v/>
      </c>
      <c r="H736" s="24">
        <f>HLOOKUP(C736,Lookups!$H$4:$K$5,2,FALSE)</f>
        <v/>
      </c>
      <c r="I736" s="24">
        <f>VLOOKUP(D736,Lookups!$A$5:$E$10,2,FALSE)</f>
        <v/>
      </c>
      <c r="J736" s="24">
        <f>VLOOKUP(D736,Lookups!$A$5:$E$10,3,FALSE)</f>
        <v/>
      </c>
      <c r="K736" s="25">
        <f>VLOOKUP(D736,Lookups!$A$5:$E$10,4,FALSE)</f>
        <v/>
      </c>
      <c r="L736" s="25">
        <f>E736*K736*(1-F736)</f>
        <v/>
      </c>
      <c r="M736" s="25">
        <f>L736*VLOOKUP(D736,Lookups!$A$5:$E$10,5,FALSE)</f>
        <v/>
      </c>
    </row>
    <row r="737">
      <c r="A737" s="21" t="inlineStr">
        <is>
          <t>INV-11059</t>
        </is>
      </c>
      <c r="B737" s="22" t="n">
        <v>45886</v>
      </c>
      <c r="C737" s="21" t="inlineStr">
        <is>
          <t>R04</t>
        </is>
      </c>
      <c r="D737" s="21" t="inlineStr">
        <is>
          <t>P100</t>
        </is>
      </c>
      <c r="E737" s="21" t="n">
        <v>20</v>
      </c>
      <c r="F737" s="23" t="n">
        <v>0.05</v>
      </c>
      <c r="G737" s="24">
        <f>TEXT(B737,"mmm")</f>
        <v/>
      </c>
      <c r="H737" s="24">
        <f>HLOOKUP(C737,Lookups!$H$4:$K$5,2,FALSE)</f>
        <v/>
      </c>
      <c r="I737" s="24">
        <f>VLOOKUP(D737,Lookups!$A$5:$E$10,2,FALSE)</f>
        <v/>
      </c>
      <c r="J737" s="24">
        <f>VLOOKUP(D737,Lookups!$A$5:$E$10,3,FALSE)</f>
        <v/>
      </c>
      <c r="K737" s="25">
        <f>VLOOKUP(D737,Lookups!$A$5:$E$10,4,FALSE)</f>
        <v/>
      </c>
      <c r="L737" s="25">
        <f>E737*K737*(1-F737)</f>
        <v/>
      </c>
      <c r="M737" s="25">
        <f>L737*VLOOKUP(D737,Lookups!$A$5:$E$10,5,FALSE)</f>
        <v/>
      </c>
    </row>
    <row r="738">
      <c r="A738" s="21" t="inlineStr">
        <is>
          <t>INV-10486</t>
        </is>
      </c>
      <c r="B738" s="22" t="n">
        <v>45887</v>
      </c>
      <c r="C738" s="21" t="inlineStr">
        <is>
          <t>R04</t>
        </is>
      </c>
      <c r="D738" s="21" t="inlineStr">
        <is>
          <t>P400</t>
        </is>
      </c>
      <c r="E738" s="21" t="n">
        <v>3</v>
      </c>
      <c r="F738" s="23" t="n">
        <v>0</v>
      </c>
      <c r="G738" s="24">
        <f>TEXT(B738,"mmm")</f>
        <v/>
      </c>
      <c r="H738" s="24">
        <f>HLOOKUP(C738,Lookups!$H$4:$K$5,2,FALSE)</f>
        <v/>
      </c>
      <c r="I738" s="24">
        <f>VLOOKUP(D738,Lookups!$A$5:$E$10,2,FALSE)</f>
        <v/>
      </c>
      <c r="J738" s="24">
        <f>VLOOKUP(D738,Lookups!$A$5:$E$10,3,FALSE)</f>
        <v/>
      </c>
      <c r="K738" s="25">
        <f>VLOOKUP(D738,Lookups!$A$5:$E$10,4,FALSE)</f>
        <v/>
      </c>
      <c r="L738" s="25">
        <f>E738*K738*(1-F738)</f>
        <v/>
      </c>
      <c r="M738" s="25">
        <f>L738*VLOOKUP(D738,Lookups!$A$5:$E$10,5,FALSE)</f>
        <v/>
      </c>
    </row>
    <row r="739">
      <c r="A739" s="21" t="inlineStr">
        <is>
          <t>INV-10554</t>
        </is>
      </c>
      <c r="B739" s="22" t="n">
        <v>45887</v>
      </c>
      <c r="C739" s="21" t="inlineStr">
        <is>
          <t>R04</t>
        </is>
      </c>
      <c r="D739" s="21" t="inlineStr">
        <is>
          <t>P500</t>
        </is>
      </c>
      <c r="E739" s="21" t="n">
        <v>4</v>
      </c>
      <c r="F739" s="23" t="n">
        <v>0</v>
      </c>
      <c r="G739" s="24">
        <f>TEXT(B739,"mmm")</f>
        <v/>
      </c>
      <c r="H739" s="24">
        <f>HLOOKUP(C739,Lookups!$H$4:$K$5,2,FALSE)</f>
        <v/>
      </c>
      <c r="I739" s="24">
        <f>VLOOKUP(D739,Lookups!$A$5:$E$10,2,FALSE)</f>
        <v/>
      </c>
      <c r="J739" s="24">
        <f>VLOOKUP(D739,Lookups!$A$5:$E$10,3,FALSE)</f>
        <v/>
      </c>
      <c r="K739" s="25">
        <f>VLOOKUP(D739,Lookups!$A$5:$E$10,4,FALSE)</f>
        <v/>
      </c>
      <c r="L739" s="25">
        <f>E739*K739*(1-F739)</f>
        <v/>
      </c>
      <c r="M739" s="25">
        <f>L739*VLOOKUP(D739,Lookups!$A$5:$E$10,5,FALSE)</f>
        <v/>
      </c>
    </row>
    <row r="740">
      <c r="A740" s="21" t="inlineStr">
        <is>
          <t>INV-10575</t>
        </is>
      </c>
      <c r="B740" s="22" t="n">
        <v>45887</v>
      </c>
      <c r="C740" s="21" t="inlineStr">
        <is>
          <t>R04</t>
        </is>
      </c>
      <c r="D740" s="21" t="inlineStr">
        <is>
          <t>P500</t>
        </is>
      </c>
      <c r="E740" s="21" t="n">
        <v>19</v>
      </c>
      <c r="F740" s="23" t="n">
        <v>0.1</v>
      </c>
      <c r="G740" s="24">
        <f>TEXT(B740,"mmm")</f>
        <v/>
      </c>
      <c r="H740" s="24">
        <f>HLOOKUP(C740,Lookups!$H$4:$K$5,2,FALSE)</f>
        <v/>
      </c>
      <c r="I740" s="24">
        <f>VLOOKUP(D740,Lookups!$A$5:$E$10,2,FALSE)</f>
        <v/>
      </c>
      <c r="J740" s="24">
        <f>VLOOKUP(D740,Lookups!$A$5:$E$10,3,FALSE)</f>
        <v/>
      </c>
      <c r="K740" s="25">
        <f>VLOOKUP(D740,Lookups!$A$5:$E$10,4,FALSE)</f>
        <v/>
      </c>
      <c r="L740" s="25">
        <f>E740*K740*(1-F740)</f>
        <v/>
      </c>
      <c r="M740" s="25">
        <f>L740*VLOOKUP(D740,Lookups!$A$5:$E$10,5,FALSE)</f>
        <v/>
      </c>
    </row>
    <row r="741">
      <c r="A741" s="21" t="inlineStr">
        <is>
          <t>INV-11142</t>
        </is>
      </c>
      <c r="B741" s="22" t="n">
        <v>45887</v>
      </c>
      <c r="C741" s="21" t="inlineStr">
        <is>
          <t>R01</t>
        </is>
      </c>
      <c r="D741" s="21" t="inlineStr">
        <is>
          <t>P400</t>
        </is>
      </c>
      <c r="E741" s="21" t="n">
        <v>24</v>
      </c>
      <c r="F741" s="23" t="n">
        <v>0</v>
      </c>
      <c r="G741" s="24">
        <f>TEXT(B741,"mmm")</f>
        <v/>
      </c>
      <c r="H741" s="24">
        <f>HLOOKUP(C741,Lookups!$H$4:$K$5,2,FALSE)</f>
        <v/>
      </c>
      <c r="I741" s="24">
        <f>VLOOKUP(D741,Lookups!$A$5:$E$10,2,FALSE)</f>
        <v/>
      </c>
      <c r="J741" s="24">
        <f>VLOOKUP(D741,Lookups!$A$5:$E$10,3,FALSE)</f>
        <v/>
      </c>
      <c r="K741" s="25">
        <f>VLOOKUP(D741,Lookups!$A$5:$E$10,4,FALSE)</f>
        <v/>
      </c>
      <c r="L741" s="25">
        <f>E741*K741*(1-F741)</f>
        <v/>
      </c>
      <c r="M741" s="25">
        <f>L741*VLOOKUP(D741,Lookups!$A$5:$E$10,5,FALSE)</f>
        <v/>
      </c>
    </row>
    <row r="742">
      <c r="A742" s="21" t="inlineStr">
        <is>
          <t>INV-11192</t>
        </is>
      </c>
      <c r="B742" s="22" t="n">
        <v>45887</v>
      </c>
      <c r="C742" s="21" t="inlineStr">
        <is>
          <t>R02</t>
        </is>
      </c>
      <c r="D742" s="21" t="inlineStr">
        <is>
          <t>P500</t>
        </is>
      </c>
      <c r="E742" s="21" t="n">
        <v>7</v>
      </c>
      <c r="F742" s="23" t="n">
        <v>0</v>
      </c>
      <c r="G742" s="24">
        <f>TEXT(B742,"mmm")</f>
        <v/>
      </c>
      <c r="H742" s="24">
        <f>HLOOKUP(C742,Lookups!$H$4:$K$5,2,FALSE)</f>
        <v/>
      </c>
      <c r="I742" s="24">
        <f>VLOOKUP(D742,Lookups!$A$5:$E$10,2,FALSE)</f>
        <v/>
      </c>
      <c r="J742" s="24">
        <f>VLOOKUP(D742,Lookups!$A$5:$E$10,3,FALSE)</f>
        <v/>
      </c>
      <c r="K742" s="25">
        <f>VLOOKUP(D742,Lookups!$A$5:$E$10,4,FALSE)</f>
        <v/>
      </c>
      <c r="L742" s="25">
        <f>E742*K742*(1-F742)</f>
        <v/>
      </c>
      <c r="M742" s="25">
        <f>L742*VLOOKUP(D742,Lookups!$A$5:$E$10,5,FALSE)</f>
        <v/>
      </c>
    </row>
    <row r="743">
      <c r="A743" s="21" t="inlineStr">
        <is>
          <t>INV-10167</t>
        </is>
      </c>
      <c r="B743" s="22" t="n">
        <v>45888</v>
      </c>
      <c r="C743" s="21" t="inlineStr">
        <is>
          <t>R03</t>
        </is>
      </c>
      <c r="D743" s="21" t="inlineStr">
        <is>
          <t>P400</t>
        </is>
      </c>
      <c r="E743" s="21" t="n">
        <v>19</v>
      </c>
      <c r="F743" s="23" t="n">
        <v>0.1</v>
      </c>
      <c r="G743" s="24">
        <f>TEXT(B743,"mmm")</f>
        <v/>
      </c>
      <c r="H743" s="24">
        <f>HLOOKUP(C743,Lookups!$H$4:$K$5,2,FALSE)</f>
        <v/>
      </c>
      <c r="I743" s="24">
        <f>VLOOKUP(D743,Lookups!$A$5:$E$10,2,FALSE)</f>
        <v/>
      </c>
      <c r="J743" s="24">
        <f>VLOOKUP(D743,Lookups!$A$5:$E$10,3,FALSE)</f>
        <v/>
      </c>
      <c r="K743" s="25">
        <f>VLOOKUP(D743,Lookups!$A$5:$E$10,4,FALSE)</f>
        <v/>
      </c>
      <c r="L743" s="25">
        <f>E743*K743*(1-F743)</f>
        <v/>
      </c>
      <c r="M743" s="25">
        <f>L743*VLOOKUP(D743,Lookups!$A$5:$E$10,5,FALSE)</f>
        <v/>
      </c>
    </row>
    <row r="744">
      <c r="A744" s="21" t="inlineStr">
        <is>
          <t>INV-10341</t>
        </is>
      </c>
      <c r="B744" s="22" t="n">
        <v>45888</v>
      </c>
      <c r="C744" s="21" t="inlineStr">
        <is>
          <t>R01</t>
        </is>
      </c>
      <c r="D744" s="21" t="inlineStr">
        <is>
          <t>P300</t>
        </is>
      </c>
      <c r="E744" s="21" t="n">
        <v>14</v>
      </c>
      <c r="F744" s="23" t="n">
        <v>0</v>
      </c>
      <c r="G744" s="24">
        <f>TEXT(B744,"mmm")</f>
        <v/>
      </c>
      <c r="H744" s="24">
        <f>HLOOKUP(C744,Lookups!$H$4:$K$5,2,FALSE)</f>
        <v/>
      </c>
      <c r="I744" s="24">
        <f>VLOOKUP(D744,Lookups!$A$5:$E$10,2,FALSE)</f>
        <v/>
      </c>
      <c r="J744" s="24">
        <f>VLOOKUP(D744,Lookups!$A$5:$E$10,3,FALSE)</f>
        <v/>
      </c>
      <c r="K744" s="25">
        <f>VLOOKUP(D744,Lookups!$A$5:$E$10,4,FALSE)</f>
        <v/>
      </c>
      <c r="L744" s="25">
        <f>E744*K744*(1-F744)</f>
        <v/>
      </c>
      <c r="M744" s="25">
        <f>L744*VLOOKUP(D744,Lookups!$A$5:$E$10,5,FALSE)</f>
        <v/>
      </c>
    </row>
    <row r="745">
      <c r="A745" s="21" t="inlineStr">
        <is>
          <t>INV-10393</t>
        </is>
      </c>
      <c r="B745" s="22" t="n">
        <v>45888</v>
      </c>
      <c r="C745" s="21" t="inlineStr">
        <is>
          <t>R03</t>
        </is>
      </c>
      <c r="D745" s="21" t="inlineStr">
        <is>
          <t>P400</t>
        </is>
      </c>
      <c r="E745" s="21" t="n">
        <v>5</v>
      </c>
      <c r="F745" s="23" t="n">
        <v>0</v>
      </c>
      <c r="G745" s="24">
        <f>TEXT(B745,"mmm")</f>
        <v/>
      </c>
      <c r="H745" s="24">
        <f>HLOOKUP(C745,Lookups!$H$4:$K$5,2,FALSE)</f>
        <v/>
      </c>
      <c r="I745" s="24">
        <f>VLOOKUP(D745,Lookups!$A$5:$E$10,2,FALSE)</f>
        <v/>
      </c>
      <c r="J745" s="24">
        <f>VLOOKUP(D745,Lookups!$A$5:$E$10,3,FALSE)</f>
        <v/>
      </c>
      <c r="K745" s="25">
        <f>VLOOKUP(D745,Lookups!$A$5:$E$10,4,FALSE)</f>
        <v/>
      </c>
      <c r="L745" s="25">
        <f>E745*K745*(1-F745)</f>
        <v/>
      </c>
      <c r="M745" s="25">
        <f>L745*VLOOKUP(D745,Lookups!$A$5:$E$10,5,FALSE)</f>
        <v/>
      </c>
    </row>
    <row r="746">
      <c r="A746" s="21" t="inlineStr">
        <is>
          <t>INV-10606</t>
        </is>
      </c>
      <c r="B746" s="22" t="n">
        <v>45888</v>
      </c>
      <c r="C746" s="21" t="inlineStr">
        <is>
          <t>R01</t>
        </is>
      </c>
      <c r="D746" s="21" t="inlineStr">
        <is>
          <t>P500</t>
        </is>
      </c>
      <c r="E746" s="21" t="n">
        <v>12</v>
      </c>
      <c r="F746" s="23" t="n">
        <v>0</v>
      </c>
      <c r="G746" s="24">
        <f>TEXT(B746,"mmm")</f>
        <v/>
      </c>
      <c r="H746" s="24">
        <f>HLOOKUP(C746,Lookups!$H$4:$K$5,2,FALSE)</f>
        <v/>
      </c>
      <c r="I746" s="24">
        <f>VLOOKUP(D746,Lookups!$A$5:$E$10,2,FALSE)</f>
        <v/>
      </c>
      <c r="J746" s="24">
        <f>VLOOKUP(D746,Lookups!$A$5:$E$10,3,FALSE)</f>
        <v/>
      </c>
      <c r="K746" s="25">
        <f>VLOOKUP(D746,Lookups!$A$5:$E$10,4,FALSE)</f>
        <v/>
      </c>
      <c r="L746" s="25">
        <f>E746*K746*(1-F746)</f>
        <v/>
      </c>
      <c r="M746" s="25">
        <f>L746*VLOOKUP(D746,Lookups!$A$5:$E$10,5,FALSE)</f>
        <v/>
      </c>
    </row>
    <row r="747">
      <c r="A747" s="21" t="inlineStr">
        <is>
          <t>INV-10616</t>
        </is>
      </c>
      <c r="B747" s="22" t="n">
        <v>45888</v>
      </c>
      <c r="C747" s="21" t="inlineStr">
        <is>
          <t>R03</t>
        </is>
      </c>
      <c r="D747" s="21" t="inlineStr">
        <is>
          <t>P300</t>
        </is>
      </c>
      <c r="E747" s="21" t="n">
        <v>3</v>
      </c>
      <c r="F747" s="23" t="n">
        <v>0.1</v>
      </c>
      <c r="G747" s="24">
        <f>TEXT(B747,"mmm")</f>
        <v/>
      </c>
      <c r="H747" s="24">
        <f>HLOOKUP(C747,Lookups!$H$4:$K$5,2,FALSE)</f>
        <v/>
      </c>
      <c r="I747" s="24">
        <f>VLOOKUP(D747,Lookups!$A$5:$E$10,2,FALSE)</f>
        <v/>
      </c>
      <c r="J747" s="24">
        <f>VLOOKUP(D747,Lookups!$A$5:$E$10,3,FALSE)</f>
        <v/>
      </c>
      <c r="K747" s="25">
        <f>VLOOKUP(D747,Lookups!$A$5:$E$10,4,FALSE)</f>
        <v/>
      </c>
      <c r="L747" s="25">
        <f>E747*K747*(1-F747)</f>
        <v/>
      </c>
      <c r="M747" s="25">
        <f>L747*VLOOKUP(D747,Lookups!$A$5:$E$10,5,FALSE)</f>
        <v/>
      </c>
    </row>
    <row r="748">
      <c r="A748" s="21" t="inlineStr">
        <is>
          <t>INV-10887</t>
        </is>
      </c>
      <c r="B748" s="22" t="n">
        <v>45888</v>
      </c>
      <c r="C748" s="21" t="inlineStr">
        <is>
          <t>R02</t>
        </is>
      </c>
      <c r="D748" s="21" t="inlineStr">
        <is>
          <t>P400</t>
        </is>
      </c>
      <c r="E748" s="21" t="n">
        <v>16</v>
      </c>
      <c r="F748" s="23" t="n">
        <v>0</v>
      </c>
      <c r="G748" s="24">
        <f>TEXT(B748,"mmm")</f>
        <v/>
      </c>
      <c r="H748" s="24">
        <f>HLOOKUP(C748,Lookups!$H$4:$K$5,2,FALSE)</f>
        <v/>
      </c>
      <c r="I748" s="24">
        <f>VLOOKUP(D748,Lookups!$A$5:$E$10,2,FALSE)</f>
        <v/>
      </c>
      <c r="J748" s="24">
        <f>VLOOKUP(D748,Lookups!$A$5:$E$10,3,FALSE)</f>
        <v/>
      </c>
      <c r="K748" s="25">
        <f>VLOOKUP(D748,Lookups!$A$5:$E$10,4,FALSE)</f>
        <v/>
      </c>
      <c r="L748" s="25">
        <f>E748*K748*(1-F748)</f>
        <v/>
      </c>
      <c r="M748" s="25">
        <f>L748*VLOOKUP(D748,Lookups!$A$5:$E$10,5,FALSE)</f>
        <v/>
      </c>
    </row>
    <row r="749">
      <c r="A749" s="21" t="inlineStr">
        <is>
          <t>INV-11117</t>
        </is>
      </c>
      <c r="B749" s="22" t="n">
        <v>45888</v>
      </c>
      <c r="C749" s="21" t="inlineStr">
        <is>
          <t>R03</t>
        </is>
      </c>
      <c r="D749" s="21" t="inlineStr">
        <is>
          <t>P300</t>
        </is>
      </c>
      <c r="E749" s="21" t="n">
        <v>18</v>
      </c>
      <c r="F749" s="23" t="n">
        <v>0.05</v>
      </c>
      <c r="G749" s="24">
        <f>TEXT(B749,"mmm")</f>
        <v/>
      </c>
      <c r="H749" s="24">
        <f>HLOOKUP(C749,Lookups!$H$4:$K$5,2,FALSE)</f>
        <v/>
      </c>
      <c r="I749" s="24">
        <f>VLOOKUP(D749,Lookups!$A$5:$E$10,2,FALSE)</f>
        <v/>
      </c>
      <c r="J749" s="24">
        <f>VLOOKUP(D749,Lookups!$A$5:$E$10,3,FALSE)</f>
        <v/>
      </c>
      <c r="K749" s="25">
        <f>VLOOKUP(D749,Lookups!$A$5:$E$10,4,FALSE)</f>
        <v/>
      </c>
      <c r="L749" s="25">
        <f>E749*K749*(1-F749)</f>
        <v/>
      </c>
      <c r="M749" s="25">
        <f>L749*VLOOKUP(D749,Lookups!$A$5:$E$10,5,FALSE)</f>
        <v/>
      </c>
    </row>
    <row r="750">
      <c r="A750" s="21" t="inlineStr">
        <is>
          <t>INV-10261</t>
        </is>
      </c>
      <c r="B750" s="22" t="n">
        <v>45889</v>
      </c>
      <c r="C750" s="21" t="inlineStr">
        <is>
          <t>R02</t>
        </is>
      </c>
      <c r="D750" s="21" t="inlineStr">
        <is>
          <t>P500</t>
        </is>
      </c>
      <c r="E750" s="21" t="n">
        <v>20</v>
      </c>
      <c r="F750" s="23" t="n">
        <v>0</v>
      </c>
      <c r="G750" s="24">
        <f>TEXT(B750,"mmm")</f>
        <v/>
      </c>
      <c r="H750" s="24">
        <f>HLOOKUP(C750,Lookups!$H$4:$K$5,2,FALSE)</f>
        <v/>
      </c>
      <c r="I750" s="24">
        <f>VLOOKUP(D750,Lookups!$A$5:$E$10,2,FALSE)</f>
        <v/>
      </c>
      <c r="J750" s="24">
        <f>VLOOKUP(D750,Lookups!$A$5:$E$10,3,FALSE)</f>
        <v/>
      </c>
      <c r="K750" s="25">
        <f>VLOOKUP(D750,Lookups!$A$5:$E$10,4,FALSE)</f>
        <v/>
      </c>
      <c r="L750" s="25">
        <f>E750*K750*(1-F750)</f>
        <v/>
      </c>
      <c r="M750" s="25">
        <f>L750*VLOOKUP(D750,Lookups!$A$5:$E$10,5,FALSE)</f>
        <v/>
      </c>
    </row>
    <row r="751">
      <c r="A751" s="21" t="inlineStr">
        <is>
          <t>INV-10311</t>
        </is>
      </c>
      <c r="B751" s="22" t="n">
        <v>45889</v>
      </c>
      <c r="C751" s="21" t="inlineStr">
        <is>
          <t>R01</t>
        </is>
      </c>
      <c r="D751" s="21" t="inlineStr">
        <is>
          <t>P100</t>
        </is>
      </c>
      <c r="E751" s="21" t="n">
        <v>12</v>
      </c>
      <c r="F751" s="23" t="n">
        <v>0.05</v>
      </c>
      <c r="G751" s="24">
        <f>TEXT(B751,"mmm")</f>
        <v/>
      </c>
      <c r="H751" s="24">
        <f>HLOOKUP(C751,Lookups!$H$4:$K$5,2,FALSE)</f>
        <v/>
      </c>
      <c r="I751" s="24">
        <f>VLOOKUP(D751,Lookups!$A$5:$E$10,2,FALSE)</f>
        <v/>
      </c>
      <c r="J751" s="24">
        <f>VLOOKUP(D751,Lookups!$A$5:$E$10,3,FALSE)</f>
        <v/>
      </c>
      <c r="K751" s="25">
        <f>VLOOKUP(D751,Lookups!$A$5:$E$10,4,FALSE)</f>
        <v/>
      </c>
      <c r="L751" s="25">
        <f>E751*K751*(1-F751)</f>
        <v/>
      </c>
      <c r="M751" s="25">
        <f>L751*VLOOKUP(D751,Lookups!$A$5:$E$10,5,FALSE)</f>
        <v/>
      </c>
    </row>
    <row r="752">
      <c r="A752" s="21" t="inlineStr">
        <is>
          <t>INV-10699</t>
        </is>
      </c>
      <c r="B752" s="22" t="n">
        <v>45889</v>
      </c>
      <c r="C752" s="21" t="inlineStr">
        <is>
          <t>R04</t>
        </is>
      </c>
      <c r="D752" s="21" t="inlineStr">
        <is>
          <t>P300</t>
        </is>
      </c>
      <c r="E752" s="21" t="n">
        <v>9</v>
      </c>
      <c r="F752" s="23" t="n">
        <v>0</v>
      </c>
      <c r="G752" s="24">
        <f>TEXT(B752,"mmm")</f>
        <v/>
      </c>
      <c r="H752" s="24">
        <f>HLOOKUP(C752,Lookups!$H$4:$K$5,2,FALSE)</f>
        <v/>
      </c>
      <c r="I752" s="24">
        <f>VLOOKUP(D752,Lookups!$A$5:$E$10,2,FALSE)</f>
        <v/>
      </c>
      <c r="J752" s="24">
        <f>VLOOKUP(D752,Lookups!$A$5:$E$10,3,FALSE)</f>
        <v/>
      </c>
      <c r="K752" s="25">
        <f>VLOOKUP(D752,Lookups!$A$5:$E$10,4,FALSE)</f>
        <v/>
      </c>
      <c r="L752" s="25">
        <f>E752*K752*(1-F752)</f>
        <v/>
      </c>
      <c r="M752" s="25">
        <f>L752*VLOOKUP(D752,Lookups!$A$5:$E$10,5,FALSE)</f>
        <v/>
      </c>
    </row>
    <row r="753">
      <c r="A753" s="21" t="inlineStr">
        <is>
          <t>INV-10880</t>
        </is>
      </c>
      <c r="B753" s="22" t="n">
        <v>45889</v>
      </c>
      <c r="C753" s="21" t="inlineStr">
        <is>
          <t>R01</t>
        </is>
      </c>
      <c r="D753" s="21" t="inlineStr">
        <is>
          <t>P100</t>
        </is>
      </c>
      <c r="E753" s="21" t="n">
        <v>25</v>
      </c>
      <c r="F753" s="23" t="n">
        <v>0</v>
      </c>
      <c r="G753" s="24">
        <f>TEXT(B753,"mmm")</f>
        <v/>
      </c>
      <c r="H753" s="24">
        <f>HLOOKUP(C753,Lookups!$H$4:$K$5,2,FALSE)</f>
        <v/>
      </c>
      <c r="I753" s="24">
        <f>VLOOKUP(D753,Lookups!$A$5:$E$10,2,FALSE)</f>
        <v/>
      </c>
      <c r="J753" s="24">
        <f>VLOOKUP(D753,Lookups!$A$5:$E$10,3,FALSE)</f>
        <v/>
      </c>
      <c r="K753" s="25">
        <f>VLOOKUP(D753,Lookups!$A$5:$E$10,4,FALSE)</f>
        <v/>
      </c>
      <c r="L753" s="25">
        <f>E753*K753*(1-F753)</f>
        <v/>
      </c>
      <c r="M753" s="25">
        <f>L753*VLOOKUP(D753,Lookups!$A$5:$E$10,5,FALSE)</f>
        <v/>
      </c>
    </row>
    <row r="754">
      <c r="A754" s="21" t="inlineStr">
        <is>
          <t>INV-10267</t>
        </is>
      </c>
      <c r="B754" s="22" t="n">
        <v>45890</v>
      </c>
      <c r="C754" s="21" t="inlineStr">
        <is>
          <t>R04</t>
        </is>
      </c>
      <c r="D754" s="21" t="inlineStr">
        <is>
          <t>P500</t>
        </is>
      </c>
      <c r="E754" s="21" t="n">
        <v>4</v>
      </c>
      <c r="F754" s="23" t="n">
        <v>0</v>
      </c>
      <c r="G754" s="24">
        <f>TEXT(B754,"mmm")</f>
        <v/>
      </c>
      <c r="H754" s="24">
        <f>HLOOKUP(C754,Lookups!$H$4:$K$5,2,FALSE)</f>
        <v/>
      </c>
      <c r="I754" s="24">
        <f>VLOOKUP(D754,Lookups!$A$5:$E$10,2,FALSE)</f>
        <v/>
      </c>
      <c r="J754" s="24">
        <f>VLOOKUP(D754,Lookups!$A$5:$E$10,3,FALSE)</f>
        <v/>
      </c>
      <c r="K754" s="25">
        <f>VLOOKUP(D754,Lookups!$A$5:$E$10,4,FALSE)</f>
        <v/>
      </c>
      <c r="L754" s="25">
        <f>E754*K754*(1-F754)</f>
        <v/>
      </c>
      <c r="M754" s="25">
        <f>L754*VLOOKUP(D754,Lookups!$A$5:$E$10,5,FALSE)</f>
        <v/>
      </c>
    </row>
    <row r="755">
      <c r="A755" s="21" t="inlineStr">
        <is>
          <t>INV-10458</t>
        </is>
      </c>
      <c r="B755" s="22" t="n">
        <v>45890</v>
      </c>
      <c r="C755" s="21" t="inlineStr">
        <is>
          <t>R04</t>
        </is>
      </c>
      <c r="D755" s="21" t="inlineStr">
        <is>
          <t>P600</t>
        </is>
      </c>
      <c r="E755" s="21" t="n">
        <v>5</v>
      </c>
      <c r="F755" s="23" t="n">
        <v>0.1</v>
      </c>
      <c r="G755" s="24">
        <f>TEXT(B755,"mmm")</f>
        <v/>
      </c>
      <c r="H755" s="24">
        <f>HLOOKUP(C755,Lookups!$H$4:$K$5,2,FALSE)</f>
        <v/>
      </c>
      <c r="I755" s="24">
        <f>VLOOKUP(D755,Lookups!$A$5:$E$10,2,FALSE)</f>
        <v/>
      </c>
      <c r="J755" s="24">
        <f>VLOOKUP(D755,Lookups!$A$5:$E$10,3,FALSE)</f>
        <v/>
      </c>
      <c r="K755" s="25">
        <f>VLOOKUP(D755,Lookups!$A$5:$E$10,4,FALSE)</f>
        <v/>
      </c>
      <c r="L755" s="25">
        <f>E755*K755*(1-F755)</f>
        <v/>
      </c>
      <c r="M755" s="25">
        <f>L755*VLOOKUP(D755,Lookups!$A$5:$E$10,5,FALSE)</f>
        <v/>
      </c>
    </row>
    <row r="756">
      <c r="A756" s="21" t="inlineStr">
        <is>
          <t>INV-10628</t>
        </is>
      </c>
      <c r="B756" s="22" t="n">
        <v>45890</v>
      </c>
      <c r="C756" s="21" t="inlineStr">
        <is>
          <t>R03</t>
        </is>
      </c>
      <c r="D756" s="21" t="inlineStr">
        <is>
          <t>P400</t>
        </is>
      </c>
      <c r="E756" s="21" t="n">
        <v>19</v>
      </c>
      <c r="F756" s="23" t="n">
        <v>0</v>
      </c>
      <c r="G756" s="24">
        <f>TEXT(B756,"mmm")</f>
        <v/>
      </c>
      <c r="H756" s="24">
        <f>HLOOKUP(C756,Lookups!$H$4:$K$5,2,FALSE)</f>
        <v/>
      </c>
      <c r="I756" s="24">
        <f>VLOOKUP(D756,Lookups!$A$5:$E$10,2,FALSE)</f>
        <v/>
      </c>
      <c r="J756" s="24">
        <f>VLOOKUP(D756,Lookups!$A$5:$E$10,3,FALSE)</f>
        <v/>
      </c>
      <c r="K756" s="25">
        <f>VLOOKUP(D756,Lookups!$A$5:$E$10,4,FALSE)</f>
        <v/>
      </c>
      <c r="L756" s="25">
        <f>E756*K756*(1-F756)</f>
        <v/>
      </c>
      <c r="M756" s="25">
        <f>L756*VLOOKUP(D756,Lookups!$A$5:$E$10,5,FALSE)</f>
        <v/>
      </c>
    </row>
    <row r="757">
      <c r="A757" s="21" t="inlineStr">
        <is>
          <t>INV-10666</t>
        </is>
      </c>
      <c r="B757" s="22" t="n">
        <v>45890</v>
      </c>
      <c r="C757" s="21" t="inlineStr">
        <is>
          <t>R01</t>
        </is>
      </c>
      <c r="D757" s="21" t="inlineStr">
        <is>
          <t>P500</t>
        </is>
      </c>
      <c r="E757" s="21" t="n">
        <v>10</v>
      </c>
      <c r="F757" s="23" t="n">
        <v>0</v>
      </c>
      <c r="G757" s="24">
        <f>TEXT(B757,"mmm")</f>
        <v/>
      </c>
      <c r="H757" s="24">
        <f>HLOOKUP(C757,Lookups!$H$4:$K$5,2,FALSE)</f>
        <v/>
      </c>
      <c r="I757" s="24">
        <f>VLOOKUP(D757,Lookups!$A$5:$E$10,2,FALSE)</f>
        <v/>
      </c>
      <c r="J757" s="24">
        <f>VLOOKUP(D757,Lookups!$A$5:$E$10,3,FALSE)</f>
        <v/>
      </c>
      <c r="K757" s="25">
        <f>VLOOKUP(D757,Lookups!$A$5:$E$10,4,FALSE)</f>
        <v/>
      </c>
      <c r="L757" s="25">
        <f>E757*K757*(1-F757)</f>
        <v/>
      </c>
      <c r="M757" s="25">
        <f>L757*VLOOKUP(D757,Lookups!$A$5:$E$10,5,FALSE)</f>
        <v/>
      </c>
    </row>
    <row r="758">
      <c r="A758" s="21" t="inlineStr">
        <is>
          <t>INV-10987</t>
        </is>
      </c>
      <c r="B758" s="22" t="n">
        <v>45890</v>
      </c>
      <c r="C758" s="21" t="inlineStr">
        <is>
          <t>R01</t>
        </is>
      </c>
      <c r="D758" s="21" t="inlineStr">
        <is>
          <t>P500</t>
        </is>
      </c>
      <c r="E758" s="21" t="n">
        <v>8</v>
      </c>
      <c r="F758" s="23" t="n">
        <v>0.1</v>
      </c>
      <c r="G758" s="24">
        <f>TEXT(B758,"mmm")</f>
        <v/>
      </c>
      <c r="H758" s="24">
        <f>HLOOKUP(C758,Lookups!$H$4:$K$5,2,FALSE)</f>
        <v/>
      </c>
      <c r="I758" s="24">
        <f>VLOOKUP(D758,Lookups!$A$5:$E$10,2,FALSE)</f>
        <v/>
      </c>
      <c r="J758" s="24">
        <f>VLOOKUP(D758,Lookups!$A$5:$E$10,3,FALSE)</f>
        <v/>
      </c>
      <c r="K758" s="25">
        <f>VLOOKUP(D758,Lookups!$A$5:$E$10,4,FALSE)</f>
        <v/>
      </c>
      <c r="L758" s="25">
        <f>E758*K758*(1-F758)</f>
        <v/>
      </c>
      <c r="M758" s="25">
        <f>L758*VLOOKUP(D758,Lookups!$A$5:$E$10,5,FALSE)</f>
        <v/>
      </c>
    </row>
    <row r="759">
      <c r="A759" s="21" t="inlineStr">
        <is>
          <t>INV-11118</t>
        </is>
      </c>
      <c r="B759" s="22" t="n">
        <v>45890</v>
      </c>
      <c r="C759" s="21" t="inlineStr">
        <is>
          <t>R04</t>
        </is>
      </c>
      <c r="D759" s="21" t="inlineStr">
        <is>
          <t>P100</t>
        </is>
      </c>
      <c r="E759" s="21" t="n">
        <v>24</v>
      </c>
      <c r="F759" s="23" t="n">
        <v>0</v>
      </c>
      <c r="G759" s="24">
        <f>TEXT(B759,"mmm")</f>
        <v/>
      </c>
      <c r="H759" s="24">
        <f>HLOOKUP(C759,Lookups!$H$4:$K$5,2,FALSE)</f>
        <v/>
      </c>
      <c r="I759" s="24">
        <f>VLOOKUP(D759,Lookups!$A$5:$E$10,2,FALSE)</f>
        <v/>
      </c>
      <c r="J759" s="24">
        <f>VLOOKUP(D759,Lookups!$A$5:$E$10,3,FALSE)</f>
        <v/>
      </c>
      <c r="K759" s="25">
        <f>VLOOKUP(D759,Lookups!$A$5:$E$10,4,FALSE)</f>
        <v/>
      </c>
      <c r="L759" s="25">
        <f>E759*K759*(1-F759)</f>
        <v/>
      </c>
      <c r="M759" s="25">
        <f>L759*VLOOKUP(D759,Lookups!$A$5:$E$10,5,FALSE)</f>
        <v/>
      </c>
    </row>
    <row r="760">
      <c r="A760" s="21" t="inlineStr">
        <is>
          <t>INV-10203</t>
        </is>
      </c>
      <c r="B760" s="22" t="n">
        <v>45891</v>
      </c>
      <c r="C760" s="21" t="inlineStr">
        <is>
          <t>R02</t>
        </is>
      </c>
      <c r="D760" s="21" t="inlineStr">
        <is>
          <t>P300</t>
        </is>
      </c>
      <c r="E760" s="21" t="n">
        <v>23</v>
      </c>
      <c r="F760" s="23" t="n">
        <v>0</v>
      </c>
      <c r="G760" s="24">
        <f>TEXT(B760,"mmm")</f>
        <v/>
      </c>
      <c r="H760" s="24">
        <f>HLOOKUP(C760,Lookups!$H$4:$K$5,2,FALSE)</f>
        <v/>
      </c>
      <c r="I760" s="24">
        <f>VLOOKUP(D760,Lookups!$A$5:$E$10,2,FALSE)</f>
        <v/>
      </c>
      <c r="J760" s="24">
        <f>VLOOKUP(D760,Lookups!$A$5:$E$10,3,FALSE)</f>
        <v/>
      </c>
      <c r="K760" s="25">
        <f>VLOOKUP(D760,Lookups!$A$5:$E$10,4,FALSE)</f>
        <v/>
      </c>
      <c r="L760" s="25">
        <f>E760*K760*(1-F760)</f>
        <v/>
      </c>
      <c r="M760" s="25">
        <f>L760*VLOOKUP(D760,Lookups!$A$5:$E$10,5,FALSE)</f>
        <v/>
      </c>
    </row>
    <row r="761">
      <c r="A761" s="21" t="inlineStr">
        <is>
          <t>INV-10479</t>
        </is>
      </c>
      <c r="B761" s="22" t="n">
        <v>45891</v>
      </c>
      <c r="C761" s="21" t="inlineStr">
        <is>
          <t>R01</t>
        </is>
      </c>
      <c r="D761" s="21" t="inlineStr">
        <is>
          <t>P500</t>
        </is>
      </c>
      <c r="E761" s="21" t="n">
        <v>18</v>
      </c>
      <c r="F761" s="23" t="n">
        <v>0.1</v>
      </c>
      <c r="G761" s="24">
        <f>TEXT(B761,"mmm")</f>
        <v/>
      </c>
      <c r="H761" s="24">
        <f>HLOOKUP(C761,Lookups!$H$4:$K$5,2,FALSE)</f>
        <v/>
      </c>
      <c r="I761" s="24">
        <f>VLOOKUP(D761,Lookups!$A$5:$E$10,2,FALSE)</f>
        <v/>
      </c>
      <c r="J761" s="24">
        <f>VLOOKUP(D761,Lookups!$A$5:$E$10,3,FALSE)</f>
        <v/>
      </c>
      <c r="K761" s="25">
        <f>VLOOKUP(D761,Lookups!$A$5:$E$10,4,FALSE)</f>
        <v/>
      </c>
      <c r="L761" s="25">
        <f>E761*K761*(1-F761)</f>
        <v/>
      </c>
      <c r="M761" s="25">
        <f>L761*VLOOKUP(D761,Lookups!$A$5:$E$10,5,FALSE)</f>
        <v/>
      </c>
    </row>
    <row r="762">
      <c r="A762" s="21" t="inlineStr">
        <is>
          <t>INV-10834</t>
        </is>
      </c>
      <c r="B762" s="22" t="n">
        <v>45891</v>
      </c>
      <c r="C762" s="21" t="inlineStr">
        <is>
          <t>R03</t>
        </is>
      </c>
      <c r="D762" s="21" t="inlineStr">
        <is>
          <t>P600</t>
        </is>
      </c>
      <c r="E762" s="21" t="n">
        <v>14</v>
      </c>
      <c r="F762" s="23" t="n">
        <v>0</v>
      </c>
      <c r="G762" s="24">
        <f>TEXT(B762,"mmm")</f>
        <v/>
      </c>
      <c r="H762" s="24">
        <f>HLOOKUP(C762,Lookups!$H$4:$K$5,2,FALSE)</f>
        <v/>
      </c>
      <c r="I762" s="24">
        <f>VLOOKUP(D762,Lookups!$A$5:$E$10,2,FALSE)</f>
        <v/>
      </c>
      <c r="J762" s="24">
        <f>VLOOKUP(D762,Lookups!$A$5:$E$10,3,FALSE)</f>
        <v/>
      </c>
      <c r="K762" s="25">
        <f>VLOOKUP(D762,Lookups!$A$5:$E$10,4,FALSE)</f>
        <v/>
      </c>
      <c r="L762" s="25">
        <f>E762*K762*(1-F762)</f>
        <v/>
      </c>
      <c r="M762" s="25">
        <f>L762*VLOOKUP(D762,Lookups!$A$5:$E$10,5,FALSE)</f>
        <v/>
      </c>
    </row>
    <row r="763">
      <c r="A763" s="21" t="inlineStr">
        <is>
          <t>INV-10460</t>
        </is>
      </c>
      <c r="B763" s="22" t="n">
        <v>45892</v>
      </c>
      <c r="C763" s="21" t="inlineStr">
        <is>
          <t>R03</t>
        </is>
      </c>
      <c r="D763" s="21" t="inlineStr">
        <is>
          <t>P600</t>
        </is>
      </c>
      <c r="E763" s="21" t="n">
        <v>23</v>
      </c>
      <c r="F763" s="23" t="n">
        <v>0</v>
      </c>
      <c r="G763" s="24">
        <f>TEXT(B763,"mmm")</f>
        <v/>
      </c>
      <c r="H763" s="24">
        <f>HLOOKUP(C763,Lookups!$H$4:$K$5,2,FALSE)</f>
        <v/>
      </c>
      <c r="I763" s="24">
        <f>VLOOKUP(D763,Lookups!$A$5:$E$10,2,FALSE)</f>
        <v/>
      </c>
      <c r="J763" s="24">
        <f>VLOOKUP(D763,Lookups!$A$5:$E$10,3,FALSE)</f>
        <v/>
      </c>
      <c r="K763" s="25">
        <f>VLOOKUP(D763,Lookups!$A$5:$E$10,4,FALSE)</f>
        <v/>
      </c>
      <c r="L763" s="25">
        <f>E763*K763*(1-F763)</f>
        <v/>
      </c>
      <c r="M763" s="25">
        <f>L763*VLOOKUP(D763,Lookups!$A$5:$E$10,5,FALSE)</f>
        <v/>
      </c>
    </row>
    <row r="764">
      <c r="A764" s="21" t="inlineStr">
        <is>
          <t>INV-10691</t>
        </is>
      </c>
      <c r="B764" s="22" t="n">
        <v>45892</v>
      </c>
      <c r="C764" s="21" t="inlineStr">
        <is>
          <t>R01</t>
        </is>
      </c>
      <c r="D764" s="21" t="inlineStr">
        <is>
          <t>P600</t>
        </is>
      </c>
      <c r="E764" s="21" t="n">
        <v>19</v>
      </c>
      <c r="F764" s="23" t="n">
        <v>0</v>
      </c>
      <c r="G764" s="24">
        <f>TEXT(B764,"mmm")</f>
        <v/>
      </c>
      <c r="H764" s="24">
        <f>HLOOKUP(C764,Lookups!$H$4:$K$5,2,FALSE)</f>
        <v/>
      </c>
      <c r="I764" s="24">
        <f>VLOOKUP(D764,Lookups!$A$5:$E$10,2,FALSE)</f>
        <v/>
      </c>
      <c r="J764" s="24">
        <f>VLOOKUP(D764,Lookups!$A$5:$E$10,3,FALSE)</f>
        <v/>
      </c>
      <c r="K764" s="25">
        <f>VLOOKUP(D764,Lookups!$A$5:$E$10,4,FALSE)</f>
        <v/>
      </c>
      <c r="L764" s="25">
        <f>E764*K764*(1-F764)</f>
        <v/>
      </c>
      <c r="M764" s="25">
        <f>L764*VLOOKUP(D764,Lookups!$A$5:$E$10,5,FALSE)</f>
        <v/>
      </c>
    </row>
    <row r="765">
      <c r="A765" s="21" t="inlineStr">
        <is>
          <t>INV-10297</t>
        </is>
      </c>
      <c r="B765" s="22" t="n">
        <v>45893</v>
      </c>
      <c r="C765" s="21" t="inlineStr">
        <is>
          <t>R03</t>
        </is>
      </c>
      <c r="D765" s="21" t="inlineStr">
        <is>
          <t>P100</t>
        </is>
      </c>
      <c r="E765" s="21" t="n">
        <v>19</v>
      </c>
      <c r="F765" s="23" t="n">
        <v>0.1</v>
      </c>
      <c r="G765" s="24">
        <f>TEXT(B765,"mmm")</f>
        <v/>
      </c>
      <c r="H765" s="24">
        <f>HLOOKUP(C765,Lookups!$H$4:$K$5,2,FALSE)</f>
        <v/>
      </c>
      <c r="I765" s="24">
        <f>VLOOKUP(D765,Lookups!$A$5:$E$10,2,FALSE)</f>
        <v/>
      </c>
      <c r="J765" s="24">
        <f>VLOOKUP(D765,Lookups!$A$5:$E$10,3,FALSE)</f>
        <v/>
      </c>
      <c r="K765" s="25">
        <f>VLOOKUP(D765,Lookups!$A$5:$E$10,4,FALSE)</f>
        <v/>
      </c>
      <c r="L765" s="25">
        <f>E765*K765*(1-F765)</f>
        <v/>
      </c>
      <c r="M765" s="25">
        <f>L765*VLOOKUP(D765,Lookups!$A$5:$E$10,5,FALSE)</f>
        <v/>
      </c>
    </row>
    <row r="766">
      <c r="A766" s="21" t="inlineStr">
        <is>
          <t>INV-10313</t>
        </is>
      </c>
      <c r="B766" s="22" t="n">
        <v>45894</v>
      </c>
      <c r="C766" s="21" t="inlineStr">
        <is>
          <t>R01</t>
        </is>
      </c>
      <c r="D766" s="21" t="inlineStr">
        <is>
          <t>P500</t>
        </is>
      </c>
      <c r="E766" s="21" t="n">
        <v>15</v>
      </c>
      <c r="F766" s="23" t="n">
        <v>0</v>
      </c>
      <c r="G766" s="24">
        <f>TEXT(B766,"mmm")</f>
        <v/>
      </c>
      <c r="H766" s="24">
        <f>HLOOKUP(C766,Lookups!$H$4:$K$5,2,FALSE)</f>
        <v/>
      </c>
      <c r="I766" s="24">
        <f>VLOOKUP(D766,Lookups!$A$5:$E$10,2,FALSE)</f>
        <v/>
      </c>
      <c r="J766" s="24">
        <f>VLOOKUP(D766,Lookups!$A$5:$E$10,3,FALSE)</f>
        <v/>
      </c>
      <c r="K766" s="25">
        <f>VLOOKUP(D766,Lookups!$A$5:$E$10,4,FALSE)</f>
        <v/>
      </c>
      <c r="L766" s="25">
        <f>E766*K766*(1-F766)</f>
        <v/>
      </c>
      <c r="M766" s="25">
        <f>L766*VLOOKUP(D766,Lookups!$A$5:$E$10,5,FALSE)</f>
        <v/>
      </c>
    </row>
    <row r="767">
      <c r="A767" s="21" t="inlineStr">
        <is>
          <t>INV-10571</t>
        </is>
      </c>
      <c r="B767" s="22" t="n">
        <v>45894</v>
      </c>
      <c r="C767" s="21" t="inlineStr">
        <is>
          <t>R02</t>
        </is>
      </c>
      <c r="D767" s="21" t="inlineStr">
        <is>
          <t>P600</t>
        </is>
      </c>
      <c r="E767" s="21" t="n">
        <v>15</v>
      </c>
      <c r="F767" s="23" t="n">
        <v>0.05</v>
      </c>
      <c r="G767" s="24">
        <f>TEXT(B767,"mmm")</f>
        <v/>
      </c>
      <c r="H767" s="24">
        <f>HLOOKUP(C767,Lookups!$H$4:$K$5,2,FALSE)</f>
        <v/>
      </c>
      <c r="I767" s="24">
        <f>VLOOKUP(D767,Lookups!$A$5:$E$10,2,FALSE)</f>
        <v/>
      </c>
      <c r="J767" s="24">
        <f>VLOOKUP(D767,Lookups!$A$5:$E$10,3,FALSE)</f>
        <v/>
      </c>
      <c r="K767" s="25">
        <f>VLOOKUP(D767,Lookups!$A$5:$E$10,4,FALSE)</f>
        <v/>
      </c>
      <c r="L767" s="25">
        <f>E767*K767*(1-F767)</f>
        <v/>
      </c>
      <c r="M767" s="25">
        <f>L767*VLOOKUP(D767,Lookups!$A$5:$E$10,5,FALSE)</f>
        <v/>
      </c>
    </row>
    <row r="768">
      <c r="A768" s="21" t="inlineStr">
        <is>
          <t>INV-10710</t>
        </is>
      </c>
      <c r="B768" s="22" t="n">
        <v>45894</v>
      </c>
      <c r="C768" s="21" t="inlineStr">
        <is>
          <t>R02</t>
        </is>
      </c>
      <c r="D768" s="21" t="inlineStr">
        <is>
          <t>P100</t>
        </is>
      </c>
      <c r="E768" s="21" t="n">
        <v>19</v>
      </c>
      <c r="F768" s="23" t="n">
        <v>0.1</v>
      </c>
      <c r="G768" s="24">
        <f>TEXT(B768,"mmm")</f>
        <v/>
      </c>
      <c r="H768" s="24">
        <f>HLOOKUP(C768,Lookups!$H$4:$K$5,2,FALSE)</f>
        <v/>
      </c>
      <c r="I768" s="24">
        <f>VLOOKUP(D768,Lookups!$A$5:$E$10,2,FALSE)</f>
        <v/>
      </c>
      <c r="J768" s="24">
        <f>VLOOKUP(D768,Lookups!$A$5:$E$10,3,FALSE)</f>
        <v/>
      </c>
      <c r="K768" s="25">
        <f>VLOOKUP(D768,Lookups!$A$5:$E$10,4,FALSE)</f>
        <v/>
      </c>
      <c r="L768" s="25">
        <f>E768*K768*(1-F768)</f>
        <v/>
      </c>
      <c r="M768" s="25">
        <f>L768*VLOOKUP(D768,Lookups!$A$5:$E$10,5,FALSE)</f>
        <v/>
      </c>
    </row>
    <row r="769">
      <c r="A769" s="21" t="inlineStr">
        <is>
          <t>INV-10307</t>
        </is>
      </c>
      <c r="B769" s="22" t="n">
        <v>45895</v>
      </c>
      <c r="C769" s="21" t="inlineStr">
        <is>
          <t>R04</t>
        </is>
      </c>
      <c r="D769" s="21" t="inlineStr">
        <is>
          <t>P500</t>
        </is>
      </c>
      <c r="E769" s="21" t="n">
        <v>22</v>
      </c>
      <c r="F769" s="23" t="n">
        <v>0.05</v>
      </c>
      <c r="G769" s="24">
        <f>TEXT(B769,"mmm")</f>
        <v/>
      </c>
      <c r="H769" s="24">
        <f>HLOOKUP(C769,Lookups!$H$4:$K$5,2,FALSE)</f>
        <v/>
      </c>
      <c r="I769" s="24">
        <f>VLOOKUP(D769,Lookups!$A$5:$E$10,2,FALSE)</f>
        <v/>
      </c>
      <c r="J769" s="24">
        <f>VLOOKUP(D769,Lookups!$A$5:$E$10,3,FALSE)</f>
        <v/>
      </c>
      <c r="K769" s="25">
        <f>VLOOKUP(D769,Lookups!$A$5:$E$10,4,FALSE)</f>
        <v/>
      </c>
      <c r="L769" s="25">
        <f>E769*K769*(1-F769)</f>
        <v/>
      </c>
      <c r="M769" s="25">
        <f>L769*VLOOKUP(D769,Lookups!$A$5:$E$10,5,FALSE)</f>
        <v/>
      </c>
    </row>
    <row r="770">
      <c r="A770" s="21" t="inlineStr">
        <is>
          <t>INV-10504</t>
        </is>
      </c>
      <c r="B770" s="22" t="n">
        <v>45895</v>
      </c>
      <c r="C770" s="21" t="inlineStr">
        <is>
          <t>R04</t>
        </is>
      </c>
      <c r="D770" s="21" t="inlineStr">
        <is>
          <t>P100</t>
        </is>
      </c>
      <c r="E770" s="21" t="n">
        <v>14</v>
      </c>
      <c r="F770" s="23" t="n">
        <v>0</v>
      </c>
      <c r="G770" s="24">
        <f>TEXT(B770,"mmm")</f>
        <v/>
      </c>
      <c r="H770" s="24">
        <f>HLOOKUP(C770,Lookups!$H$4:$K$5,2,FALSE)</f>
        <v/>
      </c>
      <c r="I770" s="24">
        <f>VLOOKUP(D770,Lookups!$A$5:$E$10,2,FALSE)</f>
        <v/>
      </c>
      <c r="J770" s="24">
        <f>VLOOKUP(D770,Lookups!$A$5:$E$10,3,FALSE)</f>
        <v/>
      </c>
      <c r="K770" s="25">
        <f>VLOOKUP(D770,Lookups!$A$5:$E$10,4,FALSE)</f>
        <v/>
      </c>
      <c r="L770" s="25">
        <f>E770*K770*(1-F770)</f>
        <v/>
      </c>
      <c r="M770" s="25">
        <f>L770*VLOOKUP(D770,Lookups!$A$5:$E$10,5,FALSE)</f>
        <v/>
      </c>
    </row>
    <row r="771">
      <c r="A771" s="21" t="inlineStr">
        <is>
          <t>INV-10684</t>
        </is>
      </c>
      <c r="B771" s="22" t="n">
        <v>45895</v>
      </c>
      <c r="C771" s="21" t="inlineStr">
        <is>
          <t>R04</t>
        </is>
      </c>
      <c r="D771" s="21" t="inlineStr">
        <is>
          <t>P300</t>
        </is>
      </c>
      <c r="E771" s="21" t="n">
        <v>25</v>
      </c>
      <c r="F771" s="23" t="n">
        <v>0</v>
      </c>
      <c r="G771" s="24">
        <f>TEXT(B771,"mmm")</f>
        <v/>
      </c>
      <c r="H771" s="24">
        <f>HLOOKUP(C771,Lookups!$H$4:$K$5,2,FALSE)</f>
        <v/>
      </c>
      <c r="I771" s="24">
        <f>VLOOKUP(D771,Lookups!$A$5:$E$10,2,FALSE)</f>
        <v/>
      </c>
      <c r="J771" s="24">
        <f>VLOOKUP(D771,Lookups!$A$5:$E$10,3,FALSE)</f>
        <v/>
      </c>
      <c r="K771" s="25">
        <f>VLOOKUP(D771,Lookups!$A$5:$E$10,4,FALSE)</f>
        <v/>
      </c>
      <c r="L771" s="25">
        <f>E771*K771*(1-F771)</f>
        <v/>
      </c>
      <c r="M771" s="25">
        <f>L771*VLOOKUP(D771,Lookups!$A$5:$E$10,5,FALSE)</f>
        <v/>
      </c>
    </row>
    <row r="772">
      <c r="A772" s="21" t="inlineStr">
        <is>
          <t>INV-10819</t>
        </is>
      </c>
      <c r="B772" s="22" t="n">
        <v>45895</v>
      </c>
      <c r="C772" s="21" t="inlineStr">
        <is>
          <t>R04</t>
        </is>
      </c>
      <c r="D772" s="21" t="inlineStr">
        <is>
          <t>P100</t>
        </is>
      </c>
      <c r="E772" s="21" t="n">
        <v>2</v>
      </c>
      <c r="F772" s="23" t="n">
        <v>0</v>
      </c>
      <c r="G772" s="24">
        <f>TEXT(B772,"mmm")</f>
        <v/>
      </c>
      <c r="H772" s="24">
        <f>HLOOKUP(C772,Lookups!$H$4:$K$5,2,FALSE)</f>
        <v/>
      </c>
      <c r="I772" s="24">
        <f>VLOOKUP(D772,Lookups!$A$5:$E$10,2,FALSE)</f>
        <v/>
      </c>
      <c r="J772" s="24">
        <f>VLOOKUP(D772,Lookups!$A$5:$E$10,3,FALSE)</f>
        <v/>
      </c>
      <c r="K772" s="25">
        <f>VLOOKUP(D772,Lookups!$A$5:$E$10,4,FALSE)</f>
        <v/>
      </c>
      <c r="L772" s="25">
        <f>E772*K772*(1-F772)</f>
        <v/>
      </c>
      <c r="M772" s="25">
        <f>L772*VLOOKUP(D772,Lookups!$A$5:$E$10,5,FALSE)</f>
        <v/>
      </c>
    </row>
    <row r="773">
      <c r="A773" s="21" t="inlineStr">
        <is>
          <t>INV-11060</t>
        </is>
      </c>
      <c r="B773" s="22" t="n">
        <v>45895</v>
      </c>
      <c r="C773" s="21" t="inlineStr">
        <is>
          <t>R02</t>
        </is>
      </c>
      <c r="D773" s="21" t="inlineStr">
        <is>
          <t>P600</t>
        </is>
      </c>
      <c r="E773" s="21" t="n">
        <v>6</v>
      </c>
      <c r="F773" s="23" t="n">
        <v>0.05</v>
      </c>
      <c r="G773" s="24">
        <f>TEXT(B773,"mmm")</f>
        <v/>
      </c>
      <c r="H773" s="24">
        <f>HLOOKUP(C773,Lookups!$H$4:$K$5,2,FALSE)</f>
        <v/>
      </c>
      <c r="I773" s="24">
        <f>VLOOKUP(D773,Lookups!$A$5:$E$10,2,FALSE)</f>
        <v/>
      </c>
      <c r="J773" s="24">
        <f>VLOOKUP(D773,Lookups!$A$5:$E$10,3,FALSE)</f>
        <v/>
      </c>
      <c r="K773" s="25">
        <f>VLOOKUP(D773,Lookups!$A$5:$E$10,4,FALSE)</f>
        <v/>
      </c>
      <c r="L773" s="25">
        <f>E773*K773*(1-F773)</f>
        <v/>
      </c>
      <c r="M773" s="25">
        <f>L773*VLOOKUP(D773,Lookups!$A$5:$E$10,5,FALSE)</f>
        <v/>
      </c>
    </row>
    <row r="774">
      <c r="A774" s="21" t="inlineStr">
        <is>
          <t>INV-10143</t>
        </is>
      </c>
      <c r="B774" s="22" t="n">
        <v>45896</v>
      </c>
      <c r="C774" s="21" t="inlineStr">
        <is>
          <t>R03</t>
        </is>
      </c>
      <c r="D774" s="21" t="inlineStr">
        <is>
          <t>P400</t>
        </is>
      </c>
      <c r="E774" s="21" t="n">
        <v>11</v>
      </c>
      <c r="F774" s="23" t="n">
        <v>0</v>
      </c>
      <c r="G774" s="24">
        <f>TEXT(B774,"mmm")</f>
        <v/>
      </c>
      <c r="H774" s="24">
        <f>HLOOKUP(C774,Lookups!$H$4:$K$5,2,FALSE)</f>
        <v/>
      </c>
      <c r="I774" s="24">
        <f>VLOOKUP(D774,Lookups!$A$5:$E$10,2,FALSE)</f>
        <v/>
      </c>
      <c r="J774" s="24">
        <f>VLOOKUP(D774,Lookups!$A$5:$E$10,3,FALSE)</f>
        <v/>
      </c>
      <c r="K774" s="25">
        <f>VLOOKUP(D774,Lookups!$A$5:$E$10,4,FALSE)</f>
        <v/>
      </c>
      <c r="L774" s="25">
        <f>E774*K774*(1-F774)</f>
        <v/>
      </c>
      <c r="M774" s="25">
        <f>L774*VLOOKUP(D774,Lookups!$A$5:$E$10,5,FALSE)</f>
        <v/>
      </c>
    </row>
    <row r="775">
      <c r="A775" s="21" t="inlineStr">
        <is>
          <t>INV-10409</t>
        </is>
      </c>
      <c r="B775" s="22" t="n">
        <v>45896</v>
      </c>
      <c r="C775" s="21" t="inlineStr">
        <is>
          <t>R03</t>
        </is>
      </c>
      <c r="D775" s="21" t="inlineStr">
        <is>
          <t>P100</t>
        </is>
      </c>
      <c r="E775" s="21" t="n">
        <v>15</v>
      </c>
      <c r="F775" s="23" t="n">
        <v>0</v>
      </c>
      <c r="G775" s="24">
        <f>TEXT(B775,"mmm")</f>
        <v/>
      </c>
      <c r="H775" s="24">
        <f>HLOOKUP(C775,Lookups!$H$4:$K$5,2,FALSE)</f>
        <v/>
      </c>
      <c r="I775" s="24">
        <f>VLOOKUP(D775,Lookups!$A$5:$E$10,2,FALSE)</f>
        <v/>
      </c>
      <c r="J775" s="24">
        <f>VLOOKUP(D775,Lookups!$A$5:$E$10,3,FALSE)</f>
        <v/>
      </c>
      <c r="K775" s="25">
        <f>VLOOKUP(D775,Lookups!$A$5:$E$10,4,FALSE)</f>
        <v/>
      </c>
      <c r="L775" s="25">
        <f>E775*K775*(1-F775)</f>
        <v/>
      </c>
      <c r="M775" s="25">
        <f>L775*VLOOKUP(D775,Lookups!$A$5:$E$10,5,FALSE)</f>
        <v/>
      </c>
    </row>
    <row r="776">
      <c r="A776" s="21" t="inlineStr">
        <is>
          <t>INV-10468</t>
        </is>
      </c>
      <c r="B776" s="22" t="n">
        <v>45896</v>
      </c>
      <c r="C776" s="21" t="inlineStr">
        <is>
          <t>R02</t>
        </is>
      </c>
      <c r="D776" s="21" t="inlineStr">
        <is>
          <t>P300</t>
        </is>
      </c>
      <c r="E776" s="21" t="n">
        <v>13</v>
      </c>
      <c r="F776" s="23" t="n">
        <v>0.05</v>
      </c>
      <c r="G776" s="24">
        <f>TEXT(B776,"mmm")</f>
        <v/>
      </c>
      <c r="H776" s="24">
        <f>HLOOKUP(C776,Lookups!$H$4:$K$5,2,FALSE)</f>
        <v/>
      </c>
      <c r="I776" s="24">
        <f>VLOOKUP(D776,Lookups!$A$5:$E$10,2,FALSE)</f>
        <v/>
      </c>
      <c r="J776" s="24">
        <f>VLOOKUP(D776,Lookups!$A$5:$E$10,3,FALSE)</f>
        <v/>
      </c>
      <c r="K776" s="25">
        <f>VLOOKUP(D776,Lookups!$A$5:$E$10,4,FALSE)</f>
        <v/>
      </c>
      <c r="L776" s="25">
        <f>E776*K776*(1-F776)</f>
        <v/>
      </c>
      <c r="M776" s="25">
        <f>L776*VLOOKUP(D776,Lookups!$A$5:$E$10,5,FALSE)</f>
        <v/>
      </c>
    </row>
    <row r="777">
      <c r="A777" s="21" t="inlineStr">
        <is>
          <t>INV-10681</t>
        </is>
      </c>
      <c r="B777" s="22" t="n">
        <v>45896</v>
      </c>
      <c r="C777" s="21" t="inlineStr">
        <is>
          <t>R03</t>
        </is>
      </c>
      <c r="D777" s="21" t="inlineStr">
        <is>
          <t>P300</t>
        </is>
      </c>
      <c r="E777" s="21" t="n">
        <v>11</v>
      </c>
      <c r="F777" s="23" t="n">
        <v>0</v>
      </c>
      <c r="G777" s="24">
        <f>TEXT(B777,"mmm")</f>
        <v/>
      </c>
      <c r="H777" s="24">
        <f>HLOOKUP(C777,Lookups!$H$4:$K$5,2,FALSE)</f>
        <v/>
      </c>
      <c r="I777" s="24">
        <f>VLOOKUP(D777,Lookups!$A$5:$E$10,2,FALSE)</f>
        <v/>
      </c>
      <c r="J777" s="24">
        <f>VLOOKUP(D777,Lookups!$A$5:$E$10,3,FALSE)</f>
        <v/>
      </c>
      <c r="K777" s="25">
        <f>VLOOKUP(D777,Lookups!$A$5:$E$10,4,FALSE)</f>
        <v/>
      </c>
      <c r="L777" s="25">
        <f>E777*K777*(1-F777)</f>
        <v/>
      </c>
      <c r="M777" s="25">
        <f>L777*VLOOKUP(D777,Lookups!$A$5:$E$10,5,FALSE)</f>
        <v/>
      </c>
    </row>
    <row r="778">
      <c r="A778" s="21" t="inlineStr">
        <is>
          <t>INV-10124</t>
        </is>
      </c>
      <c r="B778" s="22" t="n">
        <v>45897</v>
      </c>
      <c r="C778" s="21" t="inlineStr">
        <is>
          <t>R01</t>
        </is>
      </c>
      <c r="D778" s="21" t="inlineStr">
        <is>
          <t>P200</t>
        </is>
      </c>
      <c r="E778" s="21" t="n">
        <v>13</v>
      </c>
      <c r="F778" s="23" t="n">
        <v>0</v>
      </c>
      <c r="G778" s="24">
        <f>TEXT(B778,"mmm")</f>
        <v/>
      </c>
      <c r="H778" s="24">
        <f>HLOOKUP(C778,Lookups!$H$4:$K$5,2,FALSE)</f>
        <v/>
      </c>
      <c r="I778" s="24">
        <f>VLOOKUP(D778,Lookups!$A$5:$E$10,2,FALSE)</f>
        <v/>
      </c>
      <c r="J778" s="24">
        <f>VLOOKUP(D778,Lookups!$A$5:$E$10,3,FALSE)</f>
        <v/>
      </c>
      <c r="K778" s="25">
        <f>VLOOKUP(D778,Lookups!$A$5:$E$10,4,FALSE)</f>
        <v/>
      </c>
      <c r="L778" s="25">
        <f>E778*K778*(1-F778)</f>
        <v/>
      </c>
      <c r="M778" s="25">
        <f>L778*VLOOKUP(D778,Lookups!$A$5:$E$10,5,FALSE)</f>
        <v/>
      </c>
    </row>
    <row r="779">
      <c r="A779" s="21" t="inlineStr">
        <is>
          <t>INV-10085</t>
        </is>
      </c>
      <c r="B779" s="22" t="n">
        <v>45898</v>
      </c>
      <c r="C779" s="21" t="inlineStr">
        <is>
          <t>R02</t>
        </is>
      </c>
      <c r="D779" s="21" t="inlineStr">
        <is>
          <t>P200</t>
        </is>
      </c>
      <c r="E779" s="21" t="n">
        <v>15</v>
      </c>
      <c r="F779" s="23" t="n">
        <v>0.05</v>
      </c>
      <c r="G779" s="24">
        <f>TEXT(B779,"mmm")</f>
        <v/>
      </c>
      <c r="H779" s="24">
        <f>HLOOKUP(C779,Lookups!$H$4:$K$5,2,FALSE)</f>
        <v/>
      </c>
      <c r="I779" s="24">
        <f>VLOOKUP(D779,Lookups!$A$5:$E$10,2,FALSE)</f>
        <v/>
      </c>
      <c r="J779" s="24">
        <f>VLOOKUP(D779,Lookups!$A$5:$E$10,3,FALSE)</f>
        <v/>
      </c>
      <c r="K779" s="25">
        <f>VLOOKUP(D779,Lookups!$A$5:$E$10,4,FALSE)</f>
        <v/>
      </c>
      <c r="L779" s="25">
        <f>E779*K779*(1-F779)</f>
        <v/>
      </c>
      <c r="M779" s="25">
        <f>L779*VLOOKUP(D779,Lookups!$A$5:$E$10,5,FALSE)</f>
        <v/>
      </c>
    </row>
    <row r="780">
      <c r="A780" s="21" t="inlineStr">
        <is>
          <t>INV-10309</t>
        </is>
      </c>
      <c r="B780" s="22" t="n">
        <v>45898</v>
      </c>
      <c r="C780" s="21" t="inlineStr">
        <is>
          <t>R03</t>
        </is>
      </c>
      <c r="D780" s="21" t="inlineStr">
        <is>
          <t>P400</t>
        </is>
      </c>
      <c r="E780" s="21" t="n">
        <v>9</v>
      </c>
      <c r="F780" s="23" t="n">
        <v>0</v>
      </c>
      <c r="G780" s="24">
        <f>TEXT(B780,"mmm")</f>
        <v/>
      </c>
      <c r="H780" s="24">
        <f>HLOOKUP(C780,Lookups!$H$4:$K$5,2,FALSE)</f>
        <v/>
      </c>
      <c r="I780" s="24">
        <f>VLOOKUP(D780,Lookups!$A$5:$E$10,2,FALSE)</f>
        <v/>
      </c>
      <c r="J780" s="24">
        <f>VLOOKUP(D780,Lookups!$A$5:$E$10,3,FALSE)</f>
        <v/>
      </c>
      <c r="K780" s="25">
        <f>VLOOKUP(D780,Lookups!$A$5:$E$10,4,FALSE)</f>
        <v/>
      </c>
      <c r="L780" s="25">
        <f>E780*K780*(1-F780)</f>
        <v/>
      </c>
      <c r="M780" s="25">
        <f>L780*VLOOKUP(D780,Lookups!$A$5:$E$10,5,FALSE)</f>
        <v/>
      </c>
    </row>
    <row r="781">
      <c r="A781" s="21" t="inlineStr">
        <is>
          <t>INV-10515</t>
        </is>
      </c>
      <c r="B781" s="22" t="n">
        <v>45898</v>
      </c>
      <c r="C781" s="21" t="inlineStr">
        <is>
          <t>R02</t>
        </is>
      </c>
      <c r="D781" s="21" t="inlineStr">
        <is>
          <t>P300</t>
        </is>
      </c>
      <c r="E781" s="21" t="n">
        <v>12</v>
      </c>
      <c r="F781" s="23" t="n">
        <v>0.05</v>
      </c>
      <c r="G781" s="24">
        <f>TEXT(B781,"mmm")</f>
        <v/>
      </c>
      <c r="H781" s="24">
        <f>HLOOKUP(C781,Lookups!$H$4:$K$5,2,FALSE)</f>
        <v/>
      </c>
      <c r="I781" s="24">
        <f>VLOOKUP(D781,Lookups!$A$5:$E$10,2,FALSE)</f>
        <v/>
      </c>
      <c r="J781" s="24">
        <f>VLOOKUP(D781,Lookups!$A$5:$E$10,3,FALSE)</f>
        <v/>
      </c>
      <c r="K781" s="25">
        <f>VLOOKUP(D781,Lookups!$A$5:$E$10,4,FALSE)</f>
        <v/>
      </c>
      <c r="L781" s="25">
        <f>E781*K781*(1-F781)</f>
        <v/>
      </c>
      <c r="M781" s="25">
        <f>L781*VLOOKUP(D781,Lookups!$A$5:$E$10,5,FALSE)</f>
        <v/>
      </c>
    </row>
    <row r="782">
      <c r="A782" s="21" t="inlineStr">
        <is>
          <t>INV-11080</t>
        </is>
      </c>
      <c r="B782" s="22" t="n">
        <v>45898</v>
      </c>
      <c r="C782" s="21" t="inlineStr">
        <is>
          <t>R01</t>
        </is>
      </c>
      <c r="D782" s="21" t="inlineStr">
        <is>
          <t>P500</t>
        </is>
      </c>
      <c r="E782" s="21" t="n">
        <v>23</v>
      </c>
      <c r="F782" s="23" t="n">
        <v>0.1</v>
      </c>
      <c r="G782" s="24">
        <f>TEXT(B782,"mmm")</f>
        <v/>
      </c>
      <c r="H782" s="24">
        <f>HLOOKUP(C782,Lookups!$H$4:$K$5,2,FALSE)</f>
        <v/>
      </c>
      <c r="I782" s="24">
        <f>VLOOKUP(D782,Lookups!$A$5:$E$10,2,FALSE)</f>
        <v/>
      </c>
      <c r="J782" s="24">
        <f>VLOOKUP(D782,Lookups!$A$5:$E$10,3,FALSE)</f>
        <v/>
      </c>
      <c r="K782" s="25">
        <f>VLOOKUP(D782,Lookups!$A$5:$E$10,4,FALSE)</f>
        <v/>
      </c>
      <c r="L782" s="25">
        <f>E782*K782*(1-F782)</f>
        <v/>
      </c>
      <c r="M782" s="25">
        <f>L782*VLOOKUP(D782,Lookups!$A$5:$E$10,5,FALSE)</f>
        <v/>
      </c>
    </row>
    <row r="783">
      <c r="A783" s="21" t="inlineStr">
        <is>
          <t>INV-10198</t>
        </is>
      </c>
      <c r="B783" s="22" t="n">
        <v>45899</v>
      </c>
      <c r="C783" s="21" t="inlineStr">
        <is>
          <t>R04</t>
        </is>
      </c>
      <c r="D783" s="21" t="inlineStr">
        <is>
          <t>P200</t>
        </is>
      </c>
      <c r="E783" s="21" t="n">
        <v>18</v>
      </c>
      <c r="F783" s="23" t="n">
        <v>0</v>
      </c>
      <c r="G783" s="24">
        <f>TEXT(B783,"mmm")</f>
        <v/>
      </c>
      <c r="H783" s="24">
        <f>HLOOKUP(C783,Lookups!$H$4:$K$5,2,FALSE)</f>
        <v/>
      </c>
      <c r="I783" s="24">
        <f>VLOOKUP(D783,Lookups!$A$5:$E$10,2,FALSE)</f>
        <v/>
      </c>
      <c r="J783" s="24">
        <f>VLOOKUP(D783,Lookups!$A$5:$E$10,3,FALSE)</f>
        <v/>
      </c>
      <c r="K783" s="25">
        <f>VLOOKUP(D783,Lookups!$A$5:$E$10,4,FALSE)</f>
        <v/>
      </c>
      <c r="L783" s="25">
        <f>E783*K783*(1-F783)</f>
        <v/>
      </c>
      <c r="M783" s="25">
        <f>L783*VLOOKUP(D783,Lookups!$A$5:$E$10,5,FALSE)</f>
        <v/>
      </c>
    </row>
    <row r="784">
      <c r="A784" s="21" t="inlineStr">
        <is>
          <t>INV-10241</t>
        </is>
      </c>
      <c r="B784" s="22" t="n">
        <v>45899</v>
      </c>
      <c r="C784" s="21" t="inlineStr">
        <is>
          <t>R03</t>
        </is>
      </c>
      <c r="D784" s="21" t="inlineStr">
        <is>
          <t>P100</t>
        </is>
      </c>
      <c r="E784" s="21" t="n">
        <v>20</v>
      </c>
      <c r="F784" s="23" t="n">
        <v>0</v>
      </c>
      <c r="G784" s="24">
        <f>TEXT(B784,"mmm")</f>
        <v/>
      </c>
      <c r="H784" s="24">
        <f>HLOOKUP(C784,Lookups!$H$4:$K$5,2,FALSE)</f>
        <v/>
      </c>
      <c r="I784" s="24">
        <f>VLOOKUP(D784,Lookups!$A$5:$E$10,2,FALSE)</f>
        <v/>
      </c>
      <c r="J784" s="24">
        <f>VLOOKUP(D784,Lookups!$A$5:$E$10,3,FALSE)</f>
        <v/>
      </c>
      <c r="K784" s="25">
        <f>VLOOKUP(D784,Lookups!$A$5:$E$10,4,FALSE)</f>
        <v/>
      </c>
      <c r="L784" s="25">
        <f>E784*K784*(1-F784)</f>
        <v/>
      </c>
      <c r="M784" s="25">
        <f>L784*VLOOKUP(D784,Lookups!$A$5:$E$10,5,FALSE)</f>
        <v/>
      </c>
    </row>
    <row r="785">
      <c r="A785" s="21" t="inlineStr">
        <is>
          <t>INV-10658</t>
        </is>
      </c>
      <c r="B785" s="22" t="n">
        <v>45899</v>
      </c>
      <c r="C785" s="21" t="inlineStr">
        <is>
          <t>R01</t>
        </is>
      </c>
      <c r="D785" s="21" t="inlineStr">
        <is>
          <t>P100</t>
        </is>
      </c>
      <c r="E785" s="21" t="n">
        <v>19</v>
      </c>
      <c r="F785" s="23" t="n">
        <v>0</v>
      </c>
      <c r="G785" s="24">
        <f>TEXT(B785,"mmm")</f>
        <v/>
      </c>
      <c r="H785" s="24">
        <f>HLOOKUP(C785,Lookups!$H$4:$K$5,2,FALSE)</f>
        <v/>
      </c>
      <c r="I785" s="24">
        <f>VLOOKUP(D785,Lookups!$A$5:$E$10,2,FALSE)</f>
        <v/>
      </c>
      <c r="J785" s="24">
        <f>VLOOKUP(D785,Lookups!$A$5:$E$10,3,FALSE)</f>
        <v/>
      </c>
      <c r="K785" s="25">
        <f>VLOOKUP(D785,Lookups!$A$5:$E$10,4,FALSE)</f>
        <v/>
      </c>
      <c r="L785" s="25">
        <f>E785*K785*(1-F785)</f>
        <v/>
      </c>
      <c r="M785" s="25">
        <f>L785*VLOOKUP(D785,Lookups!$A$5:$E$10,5,FALSE)</f>
        <v/>
      </c>
    </row>
    <row r="786">
      <c r="A786" s="21" t="inlineStr">
        <is>
          <t>INV-10761</t>
        </is>
      </c>
      <c r="B786" s="22" t="n">
        <v>45899</v>
      </c>
      <c r="C786" s="21" t="inlineStr">
        <is>
          <t>R03</t>
        </is>
      </c>
      <c r="D786" s="21" t="inlineStr">
        <is>
          <t>P400</t>
        </is>
      </c>
      <c r="E786" s="21" t="n">
        <v>3</v>
      </c>
      <c r="F786" s="23" t="n">
        <v>0.1</v>
      </c>
      <c r="G786" s="24">
        <f>TEXT(B786,"mmm")</f>
        <v/>
      </c>
      <c r="H786" s="24">
        <f>HLOOKUP(C786,Lookups!$H$4:$K$5,2,FALSE)</f>
        <v/>
      </c>
      <c r="I786" s="24">
        <f>VLOOKUP(D786,Lookups!$A$5:$E$10,2,FALSE)</f>
        <v/>
      </c>
      <c r="J786" s="24">
        <f>VLOOKUP(D786,Lookups!$A$5:$E$10,3,FALSE)</f>
        <v/>
      </c>
      <c r="K786" s="25">
        <f>VLOOKUP(D786,Lookups!$A$5:$E$10,4,FALSE)</f>
        <v/>
      </c>
      <c r="L786" s="25">
        <f>E786*K786*(1-F786)</f>
        <v/>
      </c>
      <c r="M786" s="25">
        <f>L786*VLOOKUP(D786,Lookups!$A$5:$E$10,5,FALSE)</f>
        <v/>
      </c>
    </row>
    <row r="787">
      <c r="A787" s="21" t="inlineStr">
        <is>
          <t>INV-10820</t>
        </is>
      </c>
      <c r="B787" s="22" t="n">
        <v>45899</v>
      </c>
      <c r="C787" s="21" t="inlineStr">
        <is>
          <t>R01</t>
        </is>
      </c>
      <c r="D787" s="21" t="inlineStr">
        <is>
          <t>P200</t>
        </is>
      </c>
      <c r="E787" s="21" t="n">
        <v>22</v>
      </c>
      <c r="F787" s="23" t="n">
        <v>0.1</v>
      </c>
      <c r="G787" s="24">
        <f>TEXT(B787,"mmm")</f>
        <v/>
      </c>
      <c r="H787" s="24">
        <f>HLOOKUP(C787,Lookups!$H$4:$K$5,2,FALSE)</f>
        <v/>
      </c>
      <c r="I787" s="24">
        <f>VLOOKUP(D787,Lookups!$A$5:$E$10,2,FALSE)</f>
        <v/>
      </c>
      <c r="J787" s="24">
        <f>VLOOKUP(D787,Lookups!$A$5:$E$10,3,FALSE)</f>
        <v/>
      </c>
      <c r="K787" s="25">
        <f>VLOOKUP(D787,Lookups!$A$5:$E$10,4,FALSE)</f>
        <v/>
      </c>
      <c r="L787" s="25">
        <f>E787*K787*(1-F787)</f>
        <v/>
      </c>
      <c r="M787" s="25">
        <f>L787*VLOOKUP(D787,Lookups!$A$5:$E$10,5,FALSE)</f>
        <v/>
      </c>
    </row>
    <row r="788">
      <c r="A788" s="21" t="inlineStr">
        <is>
          <t>INV-11008</t>
        </is>
      </c>
      <c r="B788" s="22" t="n">
        <v>45899</v>
      </c>
      <c r="C788" s="21" t="inlineStr">
        <is>
          <t>R04</t>
        </is>
      </c>
      <c r="D788" s="21" t="inlineStr">
        <is>
          <t>P500</t>
        </is>
      </c>
      <c r="E788" s="21" t="n">
        <v>3</v>
      </c>
      <c r="F788" s="23" t="n">
        <v>0</v>
      </c>
      <c r="G788" s="24">
        <f>TEXT(B788,"mmm")</f>
        <v/>
      </c>
      <c r="H788" s="24">
        <f>HLOOKUP(C788,Lookups!$H$4:$K$5,2,FALSE)</f>
        <v/>
      </c>
      <c r="I788" s="24">
        <f>VLOOKUP(D788,Lookups!$A$5:$E$10,2,FALSE)</f>
        <v/>
      </c>
      <c r="J788" s="24">
        <f>VLOOKUP(D788,Lookups!$A$5:$E$10,3,FALSE)</f>
        <v/>
      </c>
      <c r="K788" s="25">
        <f>VLOOKUP(D788,Lookups!$A$5:$E$10,4,FALSE)</f>
        <v/>
      </c>
      <c r="L788" s="25">
        <f>E788*K788*(1-F788)</f>
        <v/>
      </c>
      <c r="M788" s="25">
        <f>L788*VLOOKUP(D788,Lookups!$A$5:$E$10,5,FALSE)</f>
        <v/>
      </c>
    </row>
    <row r="789">
      <c r="A789" s="21" t="inlineStr">
        <is>
          <t>INV-11173</t>
        </is>
      </c>
      <c r="B789" s="22" t="n">
        <v>45899</v>
      </c>
      <c r="C789" s="21" t="inlineStr">
        <is>
          <t>R03</t>
        </is>
      </c>
      <c r="D789" s="21" t="inlineStr">
        <is>
          <t>P100</t>
        </is>
      </c>
      <c r="E789" s="21" t="n">
        <v>7</v>
      </c>
      <c r="F789" s="23" t="n">
        <v>0</v>
      </c>
      <c r="G789" s="24">
        <f>TEXT(B789,"mmm")</f>
        <v/>
      </c>
      <c r="H789" s="24">
        <f>HLOOKUP(C789,Lookups!$H$4:$K$5,2,FALSE)</f>
        <v/>
      </c>
      <c r="I789" s="24">
        <f>VLOOKUP(D789,Lookups!$A$5:$E$10,2,FALSE)</f>
        <v/>
      </c>
      <c r="J789" s="24">
        <f>VLOOKUP(D789,Lookups!$A$5:$E$10,3,FALSE)</f>
        <v/>
      </c>
      <c r="K789" s="25">
        <f>VLOOKUP(D789,Lookups!$A$5:$E$10,4,FALSE)</f>
        <v/>
      </c>
      <c r="L789" s="25">
        <f>E789*K789*(1-F789)</f>
        <v/>
      </c>
      <c r="M789" s="25">
        <f>L789*VLOOKUP(D789,Lookups!$A$5:$E$10,5,FALSE)</f>
        <v/>
      </c>
    </row>
    <row r="790">
      <c r="A790" s="21" t="inlineStr">
        <is>
          <t>INV-10425</t>
        </is>
      </c>
      <c r="B790" s="22" t="n">
        <v>45900</v>
      </c>
      <c r="C790" s="21" t="inlineStr">
        <is>
          <t>R04</t>
        </is>
      </c>
      <c r="D790" s="21" t="inlineStr">
        <is>
          <t>P500</t>
        </is>
      </c>
      <c r="E790" s="21" t="n">
        <v>5</v>
      </c>
      <c r="F790" s="23" t="n">
        <v>0</v>
      </c>
      <c r="G790" s="24">
        <f>TEXT(B790,"mmm")</f>
        <v/>
      </c>
      <c r="H790" s="24">
        <f>HLOOKUP(C790,Lookups!$H$4:$K$5,2,FALSE)</f>
        <v/>
      </c>
      <c r="I790" s="24">
        <f>VLOOKUP(D790,Lookups!$A$5:$E$10,2,FALSE)</f>
        <v/>
      </c>
      <c r="J790" s="24">
        <f>VLOOKUP(D790,Lookups!$A$5:$E$10,3,FALSE)</f>
        <v/>
      </c>
      <c r="K790" s="25">
        <f>VLOOKUP(D790,Lookups!$A$5:$E$10,4,FALSE)</f>
        <v/>
      </c>
      <c r="L790" s="25">
        <f>E790*K790*(1-F790)</f>
        <v/>
      </c>
      <c r="M790" s="25">
        <f>L790*VLOOKUP(D790,Lookups!$A$5:$E$10,5,FALSE)</f>
        <v/>
      </c>
    </row>
    <row r="791">
      <c r="A791" s="21" t="inlineStr">
        <is>
          <t>INV-10842</t>
        </is>
      </c>
      <c r="B791" s="22" t="n">
        <v>45900</v>
      </c>
      <c r="C791" s="21" t="inlineStr">
        <is>
          <t>R02</t>
        </is>
      </c>
      <c r="D791" s="21" t="inlineStr">
        <is>
          <t>P600</t>
        </is>
      </c>
      <c r="E791" s="21" t="n">
        <v>7</v>
      </c>
      <c r="F791" s="23" t="n">
        <v>0</v>
      </c>
      <c r="G791" s="24">
        <f>TEXT(B791,"mmm")</f>
        <v/>
      </c>
      <c r="H791" s="24">
        <f>HLOOKUP(C791,Lookups!$H$4:$K$5,2,FALSE)</f>
        <v/>
      </c>
      <c r="I791" s="24">
        <f>VLOOKUP(D791,Lookups!$A$5:$E$10,2,FALSE)</f>
        <v/>
      </c>
      <c r="J791" s="24">
        <f>VLOOKUP(D791,Lookups!$A$5:$E$10,3,FALSE)</f>
        <v/>
      </c>
      <c r="K791" s="25">
        <f>VLOOKUP(D791,Lookups!$A$5:$E$10,4,FALSE)</f>
        <v/>
      </c>
      <c r="L791" s="25">
        <f>E791*K791*(1-F791)</f>
        <v/>
      </c>
      <c r="M791" s="25">
        <f>L791*VLOOKUP(D791,Lookups!$A$5:$E$10,5,FALSE)</f>
        <v/>
      </c>
    </row>
    <row r="792">
      <c r="A792" s="21" t="inlineStr">
        <is>
          <t>INV-10938</t>
        </is>
      </c>
      <c r="B792" s="22" t="n">
        <v>45900</v>
      </c>
      <c r="C792" s="21" t="inlineStr">
        <is>
          <t>R02</t>
        </is>
      </c>
      <c r="D792" s="21" t="inlineStr">
        <is>
          <t>P200</t>
        </is>
      </c>
      <c r="E792" s="21" t="n">
        <v>5</v>
      </c>
      <c r="F792" s="23" t="n">
        <v>0.1</v>
      </c>
      <c r="G792" s="24">
        <f>TEXT(B792,"mmm")</f>
        <v/>
      </c>
      <c r="H792" s="24">
        <f>HLOOKUP(C792,Lookups!$H$4:$K$5,2,FALSE)</f>
        <v/>
      </c>
      <c r="I792" s="24">
        <f>VLOOKUP(D792,Lookups!$A$5:$E$10,2,FALSE)</f>
        <v/>
      </c>
      <c r="J792" s="24">
        <f>VLOOKUP(D792,Lookups!$A$5:$E$10,3,FALSE)</f>
        <v/>
      </c>
      <c r="K792" s="25">
        <f>VLOOKUP(D792,Lookups!$A$5:$E$10,4,FALSE)</f>
        <v/>
      </c>
      <c r="L792" s="25">
        <f>E792*K792*(1-F792)</f>
        <v/>
      </c>
      <c r="M792" s="25">
        <f>L792*VLOOKUP(D792,Lookups!$A$5:$E$10,5,FALSE)</f>
        <v/>
      </c>
    </row>
    <row r="793">
      <c r="A793" s="21" t="inlineStr">
        <is>
          <t>INV-10260</t>
        </is>
      </c>
      <c r="B793" s="22" t="n">
        <v>45901</v>
      </c>
      <c r="C793" s="21" t="inlineStr">
        <is>
          <t>R03</t>
        </is>
      </c>
      <c r="D793" s="21" t="inlineStr">
        <is>
          <t>P400</t>
        </is>
      </c>
      <c r="E793" s="21" t="n">
        <v>17</v>
      </c>
      <c r="F793" s="23" t="n">
        <v>0</v>
      </c>
      <c r="G793" s="24">
        <f>TEXT(B793,"mmm")</f>
        <v/>
      </c>
      <c r="H793" s="24">
        <f>HLOOKUP(C793,Lookups!$H$4:$K$5,2,FALSE)</f>
        <v/>
      </c>
      <c r="I793" s="24">
        <f>VLOOKUP(D793,Lookups!$A$5:$E$10,2,FALSE)</f>
        <v/>
      </c>
      <c r="J793" s="24">
        <f>VLOOKUP(D793,Lookups!$A$5:$E$10,3,FALSE)</f>
        <v/>
      </c>
      <c r="K793" s="25">
        <f>VLOOKUP(D793,Lookups!$A$5:$E$10,4,FALSE)</f>
        <v/>
      </c>
      <c r="L793" s="25">
        <f>E793*K793*(1-F793)</f>
        <v/>
      </c>
      <c r="M793" s="25">
        <f>L793*VLOOKUP(D793,Lookups!$A$5:$E$10,5,FALSE)</f>
        <v/>
      </c>
    </row>
    <row r="794">
      <c r="A794" s="21" t="inlineStr">
        <is>
          <t>INV-10429</t>
        </is>
      </c>
      <c r="B794" s="22" t="n">
        <v>45901</v>
      </c>
      <c r="C794" s="21" t="inlineStr">
        <is>
          <t>R03</t>
        </is>
      </c>
      <c r="D794" s="21" t="inlineStr">
        <is>
          <t>P100</t>
        </is>
      </c>
      <c r="E794" s="21" t="n">
        <v>11</v>
      </c>
      <c r="F794" s="23" t="n">
        <v>0</v>
      </c>
      <c r="G794" s="24">
        <f>TEXT(B794,"mmm")</f>
        <v/>
      </c>
      <c r="H794" s="24">
        <f>HLOOKUP(C794,Lookups!$H$4:$K$5,2,FALSE)</f>
        <v/>
      </c>
      <c r="I794" s="24">
        <f>VLOOKUP(D794,Lookups!$A$5:$E$10,2,FALSE)</f>
        <v/>
      </c>
      <c r="J794" s="24">
        <f>VLOOKUP(D794,Lookups!$A$5:$E$10,3,FALSE)</f>
        <v/>
      </c>
      <c r="K794" s="25">
        <f>VLOOKUP(D794,Lookups!$A$5:$E$10,4,FALSE)</f>
        <v/>
      </c>
      <c r="L794" s="25">
        <f>E794*K794*(1-F794)</f>
        <v/>
      </c>
      <c r="M794" s="25">
        <f>L794*VLOOKUP(D794,Lookups!$A$5:$E$10,5,FALSE)</f>
        <v/>
      </c>
    </row>
    <row r="795">
      <c r="A795" s="21" t="inlineStr">
        <is>
          <t>INV-11030</t>
        </is>
      </c>
      <c r="B795" s="22" t="n">
        <v>45901</v>
      </c>
      <c r="C795" s="21" t="inlineStr">
        <is>
          <t>R03</t>
        </is>
      </c>
      <c r="D795" s="21" t="inlineStr">
        <is>
          <t>P300</t>
        </is>
      </c>
      <c r="E795" s="21" t="n">
        <v>7</v>
      </c>
      <c r="F795" s="23" t="n">
        <v>0.05</v>
      </c>
      <c r="G795" s="24">
        <f>TEXT(B795,"mmm")</f>
        <v/>
      </c>
      <c r="H795" s="24">
        <f>HLOOKUP(C795,Lookups!$H$4:$K$5,2,FALSE)</f>
        <v/>
      </c>
      <c r="I795" s="24">
        <f>VLOOKUP(D795,Lookups!$A$5:$E$10,2,FALSE)</f>
        <v/>
      </c>
      <c r="J795" s="24">
        <f>VLOOKUP(D795,Lookups!$A$5:$E$10,3,FALSE)</f>
        <v/>
      </c>
      <c r="K795" s="25">
        <f>VLOOKUP(D795,Lookups!$A$5:$E$10,4,FALSE)</f>
        <v/>
      </c>
      <c r="L795" s="25">
        <f>E795*K795*(1-F795)</f>
        <v/>
      </c>
      <c r="M795" s="25">
        <f>L795*VLOOKUP(D795,Lookups!$A$5:$E$10,5,FALSE)</f>
        <v/>
      </c>
    </row>
    <row r="796">
      <c r="A796" s="21" t="inlineStr">
        <is>
          <t>INV-10120</t>
        </is>
      </c>
      <c r="B796" s="22" t="n">
        <v>45902</v>
      </c>
      <c r="C796" s="21" t="inlineStr">
        <is>
          <t>R03</t>
        </is>
      </c>
      <c r="D796" s="21" t="inlineStr">
        <is>
          <t>P100</t>
        </is>
      </c>
      <c r="E796" s="21" t="n">
        <v>10</v>
      </c>
      <c r="F796" s="23" t="n">
        <v>0.1</v>
      </c>
      <c r="G796" s="24">
        <f>TEXT(B796,"mmm")</f>
        <v/>
      </c>
      <c r="H796" s="24">
        <f>HLOOKUP(C796,Lookups!$H$4:$K$5,2,FALSE)</f>
        <v/>
      </c>
      <c r="I796" s="24">
        <f>VLOOKUP(D796,Lookups!$A$5:$E$10,2,FALSE)</f>
        <v/>
      </c>
      <c r="J796" s="24">
        <f>VLOOKUP(D796,Lookups!$A$5:$E$10,3,FALSE)</f>
        <v/>
      </c>
      <c r="K796" s="25">
        <f>VLOOKUP(D796,Lookups!$A$5:$E$10,4,FALSE)</f>
        <v/>
      </c>
      <c r="L796" s="25">
        <f>E796*K796*(1-F796)</f>
        <v/>
      </c>
      <c r="M796" s="25">
        <f>L796*VLOOKUP(D796,Lookups!$A$5:$E$10,5,FALSE)</f>
        <v/>
      </c>
    </row>
    <row r="797">
      <c r="A797" s="21" t="inlineStr">
        <is>
          <t>INV-10464</t>
        </is>
      </c>
      <c r="B797" s="22" t="n">
        <v>45902</v>
      </c>
      <c r="C797" s="21" t="inlineStr">
        <is>
          <t>R02</t>
        </is>
      </c>
      <c r="D797" s="21" t="inlineStr">
        <is>
          <t>P300</t>
        </is>
      </c>
      <c r="E797" s="21" t="n">
        <v>1</v>
      </c>
      <c r="F797" s="23" t="n">
        <v>0.05</v>
      </c>
      <c r="G797" s="24">
        <f>TEXT(B797,"mmm")</f>
        <v/>
      </c>
      <c r="H797" s="24">
        <f>HLOOKUP(C797,Lookups!$H$4:$K$5,2,FALSE)</f>
        <v/>
      </c>
      <c r="I797" s="24">
        <f>VLOOKUP(D797,Lookups!$A$5:$E$10,2,FALSE)</f>
        <v/>
      </c>
      <c r="J797" s="24">
        <f>VLOOKUP(D797,Lookups!$A$5:$E$10,3,FALSE)</f>
        <v/>
      </c>
      <c r="K797" s="25">
        <f>VLOOKUP(D797,Lookups!$A$5:$E$10,4,FALSE)</f>
        <v/>
      </c>
      <c r="L797" s="25">
        <f>E797*K797*(1-F797)</f>
        <v/>
      </c>
      <c r="M797" s="25">
        <f>L797*VLOOKUP(D797,Lookups!$A$5:$E$10,5,FALSE)</f>
        <v/>
      </c>
    </row>
    <row r="798">
      <c r="A798" s="21" t="inlineStr">
        <is>
          <t>INV-11039</t>
        </is>
      </c>
      <c r="B798" s="22" t="n">
        <v>45902</v>
      </c>
      <c r="C798" s="21" t="inlineStr">
        <is>
          <t>R01</t>
        </is>
      </c>
      <c r="D798" s="21" t="inlineStr">
        <is>
          <t>P500</t>
        </is>
      </c>
      <c r="E798" s="21" t="n">
        <v>17</v>
      </c>
      <c r="F798" s="23" t="n">
        <v>0.05</v>
      </c>
      <c r="G798" s="24">
        <f>TEXT(B798,"mmm")</f>
        <v/>
      </c>
      <c r="H798" s="24">
        <f>HLOOKUP(C798,Lookups!$H$4:$K$5,2,FALSE)</f>
        <v/>
      </c>
      <c r="I798" s="24">
        <f>VLOOKUP(D798,Lookups!$A$5:$E$10,2,FALSE)</f>
        <v/>
      </c>
      <c r="J798" s="24">
        <f>VLOOKUP(D798,Lookups!$A$5:$E$10,3,FALSE)</f>
        <v/>
      </c>
      <c r="K798" s="25">
        <f>VLOOKUP(D798,Lookups!$A$5:$E$10,4,FALSE)</f>
        <v/>
      </c>
      <c r="L798" s="25">
        <f>E798*K798*(1-F798)</f>
        <v/>
      </c>
      <c r="M798" s="25">
        <f>L798*VLOOKUP(D798,Lookups!$A$5:$E$10,5,FALSE)</f>
        <v/>
      </c>
    </row>
    <row r="799">
      <c r="A799" s="21" t="inlineStr">
        <is>
          <t>INV-11081</t>
        </is>
      </c>
      <c r="B799" s="22" t="n">
        <v>45902</v>
      </c>
      <c r="C799" s="21" t="inlineStr">
        <is>
          <t>R01</t>
        </is>
      </c>
      <c r="D799" s="21" t="inlineStr">
        <is>
          <t>P300</t>
        </is>
      </c>
      <c r="E799" s="21" t="n">
        <v>25</v>
      </c>
      <c r="F799" s="23" t="n">
        <v>0.1</v>
      </c>
      <c r="G799" s="24">
        <f>TEXT(B799,"mmm")</f>
        <v/>
      </c>
      <c r="H799" s="24">
        <f>HLOOKUP(C799,Lookups!$H$4:$K$5,2,FALSE)</f>
        <v/>
      </c>
      <c r="I799" s="24">
        <f>VLOOKUP(D799,Lookups!$A$5:$E$10,2,FALSE)</f>
        <v/>
      </c>
      <c r="J799" s="24">
        <f>VLOOKUP(D799,Lookups!$A$5:$E$10,3,FALSE)</f>
        <v/>
      </c>
      <c r="K799" s="25">
        <f>VLOOKUP(D799,Lookups!$A$5:$E$10,4,FALSE)</f>
        <v/>
      </c>
      <c r="L799" s="25">
        <f>E799*K799*(1-F799)</f>
        <v/>
      </c>
      <c r="M799" s="25">
        <f>L799*VLOOKUP(D799,Lookups!$A$5:$E$10,5,FALSE)</f>
        <v/>
      </c>
    </row>
    <row r="800">
      <c r="A800" s="21" t="inlineStr">
        <is>
          <t>INV-10391</t>
        </is>
      </c>
      <c r="B800" s="22" t="n">
        <v>45903</v>
      </c>
      <c r="C800" s="21" t="inlineStr">
        <is>
          <t>R04</t>
        </is>
      </c>
      <c r="D800" s="21" t="inlineStr">
        <is>
          <t>P500</t>
        </is>
      </c>
      <c r="E800" s="21" t="n">
        <v>25</v>
      </c>
      <c r="F800" s="23" t="n">
        <v>0.1</v>
      </c>
      <c r="G800" s="24">
        <f>TEXT(B800,"mmm")</f>
        <v/>
      </c>
      <c r="H800" s="24">
        <f>HLOOKUP(C800,Lookups!$H$4:$K$5,2,FALSE)</f>
        <v/>
      </c>
      <c r="I800" s="24">
        <f>VLOOKUP(D800,Lookups!$A$5:$E$10,2,FALSE)</f>
        <v/>
      </c>
      <c r="J800" s="24">
        <f>VLOOKUP(D800,Lookups!$A$5:$E$10,3,FALSE)</f>
        <v/>
      </c>
      <c r="K800" s="25">
        <f>VLOOKUP(D800,Lookups!$A$5:$E$10,4,FALSE)</f>
        <v/>
      </c>
      <c r="L800" s="25">
        <f>E800*K800*(1-F800)</f>
        <v/>
      </c>
      <c r="M800" s="25">
        <f>L800*VLOOKUP(D800,Lookups!$A$5:$E$10,5,FALSE)</f>
        <v/>
      </c>
    </row>
    <row r="801">
      <c r="A801" s="21" t="inlineStr">
        <is>
          <t>INV-10979</t>
        </is>
      </c>
      <c r="B801" s="22" t="n">
        <v>45903</v>
      </c>
      <c r="C801" s="21" t="inlineStr">
        <is>
          <t>R02</t>
        </is>
      </c>
      <c r="D801" s="21" t="inlineStr">
        <is>
          <t>P200</t>
        </is>
      </c>
      <c r="E801" s="21" t="n">
        <v>21</v>
      </c>
      <c r="F801" s="23" t="n">
        <v>0.1</v>
      </c>
      <c r="G801" s="24">
        <f>TEXT(B801,"mmm")</f>
        <v/>
      </c>
      <c r="H801" s="24">
        <f>HLOOKUP(C801,Lookups!$H$4:$K$5,2,FALSE)</f>
        <v/>
      </c>
      <c r="I801" s="24">
        <f>VLOOKUP(D801,Lookups!$A$5:$E$10,2,FALSE)</f>
        <v/>
      </c>
      <c r="J801" s="24">
        <f>VLOOKUP(D801,Lookups!$A$5:$E$10,3,FALSE)</f>
        <v/>
      </c>
      <c r="K801" s="25">
        <f>VLOOKUP(D801,Lookups!$A$5:$E$10,4,FALSE)</f>
        <v/>
      </c>
      <c r="L801" s="25">
        <f>E801*K801*(1-F801)</f>
        <v/>
      </c>
      <c r="M801" s="25">
        <f>L801*VLOOKUP(D801,Lookups!$A$5:$E$10,5,FALSE)</f>
        <v/>
      </c>
    </row>
    <row r="802">
      <c r="A802" s="21" t="inlineStr">
        <is>
          <t>INV-10054</t>
        </is>
      </c>
      <c r="B802" s="22" t="n">
        <v>45904</v>
      </c>
      <c r="C802" s="21" t="inlineStr">
        <is>
          <t>R04</t>
        </is>
      </c>
      <c r="D802" s="21" t="inlineStr">
        <is>
          <t>P200</t>
        </is>
      </c>
      <c r="E802" s="21" t="n">
        <v>2</v>
      </c>
      <c r="F802" s="23" t="n">
        <v>0</v>
      </c>
      <c r="G802" s="24">
        <f>TEXT(B802,"mmm")</f>
        <v/>
      </c>
      <c r="H802" s="24">
        <f>HLOOKUP(C802,Lookups!$H$4:$K$5,2,FALSE)</f>
        <v/>
      </c>
      <c r="I802" s="24">
        <f>VLOOKUP(D802,Lookups!$A$5:$E$10,2,FALSE)</f>
        <v/>
      </c>
      <c r="J802" s="24">
        <f>VLOOKUP(D802,Lookups!$A$5:$E$10,3,FALSE)</f>
        <v/>
      </c>
      <c r="K802" s="25">
        <f>VLOOKUP(D802,Lookups!$A$5:$E$10,4,FALSE)</f>
        <v/>
      </c>
      <c r="L802" s="25">
        <f>E802*K802*(1-F802)</f>
        <v/>
      </c>
      <c r="M802" s="25">
        <f>L802*VLOOKUP(D802,Lookups!$A$5:$E$10,5,FALSE)</f>
        <v/>
      </c>
    </row>
    <row r="803">
      <c r="A803" s="21" t="inlineStr">
        <is>
          <t>INV-10235</t>
        </is>
      </c>
      <c r="B803" s="22" t="n">
        <v>45904</v>
      </c>
      <c r="C803" s="21" t="inlineStr">
        <is>
          <t>R03</t>
        </is>
      </c>
      <c r="D803" s="21" t="inlineStr">
        <is>
          <t>P300</t>
        </is>
      </c>
      <c r="E803" s="21" t="n">
        <v>4</v>
      </c>
      <c r="F803" s="23" t="n">
        <v>0.1</v>
      </c>
      <c r="G803" s="24">
        <f>TEXT(B803,"mmm")</f>
        <v/>
      </c>
      <c r="H803" s="24">
        <f>HLOOKUP(C803,Lookups!$H$4:$K$5,2,FALSE)</f>
        <v/>
      </c>
      <c r="I803" s="24">
        <f>VLOOKUP(D803,Lookups!$A$5:$E$10,2,FALSE)</f>
        <v/>
      </c>
      <c r="J803" s="24">
        <f>VLOOKUP(D803,Lookups!$A$5:$E$10,3,FALSE)</f>
        <v/>
      </c>
      <c r="K803" s="25">
        <f>VLOOKUP(D803,Lookups!$A$5:$E$10,4,FALSE)</f>
        <v/>
      </c>
      <c r="L803" s="25">
        <f>E803*K803*(1-F803)</f>
        <v/>
      </c>
      <c r="M803" s="25">
        <f>L803*VLOOKUP(D803,Lookups!$A$5:$E$10,5,FALSE)</f>
        <v/>
      </c>
    </row>
    <row r="804">
      <c r="A804" s="21" t="inlineStr">
        <is>
          <t>INV-10868</t>
        </is>
      </c>
      <c r="B804" s="22" t="n">
        <v>45904</v>
      </c>
      <c r="C804" s="21" t="inlineStr">
        <is>
          <t>R04</t>
        </is>
      </c>
      <c r="D804" s="21" t="inlineStr">
        <is>
          <t>P300</t>
        </is>
      </c>
      <c r="E804" s="21" t="n">
        <v>5</v>
      </c>
      <c r="F804" s="23" t="n">
        <v>0</v>
      </c>
      <c r="G804" s="24">
        <f>TEXT(B804,"mmm")</f>
        <v/>
      </c>
      <c r="H804" s="24">
        <f>HLOOKUP(C804,Lookups!$H$4:$K$5,2,FALSE)</f>
        <v/>
      </c>
      <c r="I804" s="24">
        <f>VLOOKUP(D804,Lookups!$A$5:$E$10,2,FALSE)</f>
        <v/>
      </c>
      <c r="J804" s="24">
        <f>VLOOKUP(D804,Lookups!$A$5:$E$10,3,FALSE)</f>
        <v/>
      </c>
      <c r="K804" s="25">
        <f>VLOOKUP(D804,Lookups!$A$5:$E$10,4,FALSE)</f>
        <v/>
      </c>
      <c r="L804" s="25">
        <f>E804*K804*(1-F804)</f>
        <v/>
      </c>
      <c r="M804" s="25">
        <f>L804*VLOOKUP(D804,Lookups!$A$5:$E$10,5,FALSE)</f>
        <v/>
      </c>
    </row>
    <row r="805">
      <c r="A805" s="21" t="inlineStr">
        <is>
          <t>INV-10985</t>
        </is>
      </c>
      <c r="B805" s="22" t="n">
        <v>45904</v>
      </c>
      <c r="C805" s="21" t="inlineStr">
        <is>
          <t>R02</t>
        </is>
      </c>
      <c r="D805" s="21" t="inlineStr">
        <is>
          <t>P200</t>
        </is>
      </c>
      <c r="E805" s="21" t="n">
        <v>14</v>
      </c>
      <c r="F805" s="23" t="n">
        <v>0</v>
      </c>
      <c r="G805" s="24">
        <f>TEXT(B805,"mmm")</f>
        <v/>
      </c>
      <c r="H805" s="24">
        <f>HLOOKUP(C805,Lookups!$H$4:$K$5,2,FALSE)</f>
        <v/>
      </c>
      <c r="I805" s="24">
        <f>VLOOKUP(D805,Lookups!$A$5:$E$10,2,FALSE)</f>
        <v/>
      </c>
      <c r="J805" s="24">
        <f>VLOOKUP(D805,Lookups!$A$5:$E$10,3,FALSE)</f>
        <v/>
      </c>
      <c r="K805" s="25">
        <f>VLOOKUP(D805,Lookups!$A$5:$E$10,4,FALSE)</f>
        <v/>
      </c>
      <c r="L805" s="25">
        <f>E805*K805*(1-F805)</f>
        <v/>
      </c>
      <c r="M805" s="25">
        <f>L805*VLOOKUP(D805,Lookups!$A$5:$E$10,5,FALSE)</f>
        <v/>
      </c>
    </row>
    <row r="806">
      <c r="A806" s="21" t="inlineStr">
        <is>
          <t>INV-11162</t>
        </is>
      </c>
      <c r="B806" s="22" t="n">
        <v>45904</v>
      </c>
      <c r="C806" s="21" t="inlineStr">
        <is>
          <t>R02</t>
        </is>
      </c>
      <c r="D806" s="21" t="inlineStr">
        <is>
          <t>P500</t>
        </is>
      </c>
      <c r="E806" s="21" t="n">
        <v>16</v>
      </c>
      <c r="F806" s="23" t="n">
        <v>0.1</v>
      </c>
      <c r="G806" s="24">
        <f>TEXT(B806,"mmm")</f>
        <v/>
      </c>
      <c r="H806" s="24">
        <f>HLOOKUP(C806,Lookups!$H$4:$K$5,2,FALSE)</f>
        <v/>
      </c>
      <c r="I806" s="24">
        <f>VLOOKUP(D806,Lookups!$A$5:$E$10,2,FALSE)</f>
        <v/>
      </c>
      <c r="J806" s="24">
        <f>VLOOKUP(D806,Lookups!$A$5:$E$10,3,FALSE)</f>
        <v/>
      </c>
      <c r="K806" s="25">
        <f>VLOOKUP(D806,Lookups!$A$5:$E$10,4,FALSE)</f>
        <v/>
      </c>
      <c r="L806" s="25">
        <f>E806*K806*(1-F806)</f>
        <v/>
      </c>
      <c r="M806" s="25">
        <f>L806*VLOOKUP(D806,Lookups!$A$5:$E$10,5,FALSE)</f>
        <v/>
      </c>
    </row>
    <row r="807">
      <c r="A807" s="21" t="inlineStr">
        <is>
          <t>INV-10561</t>
        </is>
      </c>
      <c r="B807" s="22" t="n">
        <v>45905</v>
      </c>
      <c r="C807" s="21" t="inlineStr">
        <is>
          <t>R03</t>
        </is>
      </c>
      <c r="D807" s="21" t="inlineStr">
        <is>
          <t>P100</t>
        </is>
      </c>
      <c r="E807" s="21" t="n">
        <v>9</v>
      </c>
      <c r="F807" s="23" t="n">
        <v>0</v>
      </c>
      <c r="G807" s="24">
        <f>TEXT(B807,"mmm")</f>
        <v/>
      </c>
      <c r="H807" s="24">
        <f>HLOOKUP(C807,Lookups!$H$4:$K$5,2,FALSE)</f>
        <v/>
      </c>
      <c r="I807" s="24">
        <f>VLOOKUP(D807,Lookups!$A$5:$E$10,2,FALSE)</f>
        <v/>
      </c>
      <c r="J807" s="24">
        <f>VLOOKUP(D807,Lookups!$A$5:$E$10,3,FALSE)</f>
        <v/>
      </c>
      <c r="K807" s="25">
        <f>VLOOKUP(D807,Lookups!$A$5:$E$10,4,FALSE)</f>
        <v/>
      </c>
      <c r="L807" s="25">
        <f>E807*K807*(1-F807)</f>
        <v/>
      </c>
      <c r="M807" s="25">
        <f>L807*VLOOKUP(D807,Lookups!$A$5:$E$10,5,FALSE)</f>
        <v/>
      </c>
    </row>
    <row r="808">
      <c r="A808" s="21" t="inlineStr">
        <is>
          <t>INV-10583</t>
        </is>
      </c>
      <c r="B808" s="22" t="n">
        <v>45905</v>
      </c>
      <c r="C808" s="21" t="inlineStr">
        <is>
          <t>R03</t>
        </is>
      </c>
      <c r="D808" s="21" t="inlineStr">
        <is>
          <t>P100</t>
        </is>
      </c>
      <c r="E808" s="21" t="n">
        <v>14</v>
      </c>
      <c r="F808" s="23" t="n">
        <v>0</v>
      </c>
      <c r="G808" s="24">
        <f>TEXT(B808,"mmm")</f>
        <v/>
      </c>
      <c r="H808" s="24">
        <f>HLOOKUP(C808,Lookups!$H$4:$K$5,2,FALSE)</f>
        <v/>
      </c>
      <c r="I808" s="24">
        <f>VLOOKUP(D808,Lookups!$A$5:$E$10,2,FALSE)</f>
        <v/>
      </c>
      <c r="J808" s="24">
        <f>VLOOKUP(D808,Lookups!$A$5:$E$10,3,FALSE)</f>
        <v/>
      </c>
      <c r="K808" s="25">
        <f>VLOOKUP(D808,Lookups!$A$5:$E$10,4,FALSE)</f>
        <v/>
      </c>
      <c r="L808" s="25">
        <f>E808*K808*(1-F808)</f>
        <v/>
      </c>
      <c r="M808" s="25">
        <f>L808*VLOOKUP(D808,Lookups!$A$5:$E$10,5,FALSE)</f>
        <v/>
      </c>
    </row>
    <row r="809">
      <c r="A809" s="21" t="inlineStr">
        <is>
          <t>INV-11150</t>
        </is>
      </c>
      <c r="B809" s="22" t="n">
        <v>45905</v>
      </c>
      <c r="C809" s="21" t="inlineStr">
        <is>
          <t>R04</t>
        </is>
      </c>
      <c r="D809" s="21" t="inlineStr">
        <is>
          <t>P200</t>
        </is>
      </c>
      <c r="E809" s="21" t="n">
        <v>23</v>
      </c>
      <c r="F809" s="23" t="n">
        <v>0</v>
      </c>
      <c r="G809" s="24">
        <f>TEXT(B809,"mmm")</f>
        <v/>
      </c>
      <c r="H809" s="24">
        <f>HLOOKUP(C809,Lookups!$H$4:$K$5,2,FALSE)</f>
        <v/>
      </c>
      <c r="I809" s="24">
        <f>VLOOKUP(D809,Lookups!$A$5:$E$10,2,FALSE)</f>
        <v/>
      </c>
      <c r="J809" s="24">
        <f>VLOOKUP(D809,Lookups!$A$5:$E$10,3,FALSE)</f>
        <v/>
      </c>
      <c r="K809" s="25">
        <f>VLOOKUP(D809,Lookups!$A$5:$E$10,4,FALSE)</f>
        <v/>
      </c>
      <c r="L809" s="25">
        <f>E809*K809*(1-F809)</f>
        <v/>
      </c>
      <c r="M809" s="25">
        <f>L809*VLOOKUP(D809,Lookups!$A$5:$E$10,5,FALSE)</f>
        <v/>
      </c>
    </row>
    <row r="810">
      <c r="A810" s="21" t="inlineStr">
        <is>
          <t>INV-10288</t>
        </is>
      </c>
      <c r="B810" s="22" t="n">
        <v>45906</v>
      </c>
      <c r="C810" s="21" t="inlineStr">
        <is>
          <t>R04</t>
        </is>
      </c>
      <c r="D810" s="21" t="inlineStr">
        <is>
          <t>P500</t>
        </is>
      </c>
      <c r="E810" s="21" t="n">
        <v>14</v>
      </c>
      <c r="F810" s="23" t="n">
        <v>0.05</v>
      </c>
      <c r="G810" s="24">
        <f>TEXT(B810,"mmm")</f>
        <v/>
      </c>
      <c r="H810" s="24">
        <f>HLOOKUP(C810,Lookups!$H$4:$K$5,2,FALSE)</f>
        <v/>
      </c>
      <c r="I810" s="24">
        <f>VLOOKUP(D810,Lookups!$A$5:$E$10,2,FALSE)</f>
        <v/>
      </c>
      <c r="J810" s="24">
        <f>VLOOKUP(D810,Lookups!$A$5:$E$10,3,FALSE)</f>
        <v/>
      </c>
      <c r="K810" s="25">
        <f>VLOOKUP(D810,Lookups!$A$5:$E$10,4,FALSE)</f>
        <v/>
      </c>
      <c r="L810" s="25">
        <f>E810*K810*(1-F810)</f>
        <v/>
      </c>
      <c r="M810" s="25">
        <f>L810*VLOOKUP(D810,Lookups!$A$5:$E$10,5,FALSE)</f>
        <v/>
      </c>
    </row>
    <row r="811">
      <c r="A811" s="21" t="inlineStr">
        <is>
          <t>INV-10607</t>
        </is>
      </c>
      <c r="B811" s="22" t="n">
        <v>45906</v>
      </c>
      <c r="C811" s="21" t="inlineStr">
        <is>
          <t>R02</t>
        </is>
      </c>
      <c r="D811" s="21" t="inlineStr">
        <is>
          <t>P200</t>
        </is>
      </c>
      <c r="E811" s="21" t="n">
        <v>13</v>
      </c>
      <c r="F811" s="23" t="n">
        <v>0.1</v>
      </c>
      <c r="G811" s="24">
        <f>TEXT(B811,"mmm")</f>
        <v/>
      </c>
      <c r="H811" s="24">
        <f>HLOOKUP(C811,Lookups!$H$4:$K$5,2,FALSE)</f>
        <v/>
      </c>
      <c r="I811" s="24">
        <f>VLOOKUP(D811,Lookups!$A$5:$E$10,2,FALSE)</f>
        <v/>
      </c>
      <c r="J811" s="24">
        <f>VLOOKUP(D811,Lookups!$A$5:$E$10,3,FALSE)</f>
        <v/>
      </c>
      <c r="K811" s="25">
        <f>VLOOKUP(D811,Lookups!$A$5:$E$10,4,FALSE)</f>
        <v/>
      </c>
      <c r="L811" s="25">
        <f>E811*K811*(1-F811)</f>
        <v/>
      </c>
      <c r="M811" s="25">
        <f>L811*VLOOKUP(D811,Lookups!$A$5:$E$10,5,FALSE)</f>
        <v/>
      </c>
    </row>
    <row r="812">
      <c r="A812" s="21" t="inlineStr">
        <is>
          <t>INV-10950</t>
        </is>
      </c>
      <c r="B812" s="22" t="n">
        <v>45906</v>
      </c>
      <c r="C812" s="21" t="inlineStr">
        <is>
          <t>R03</t>
        </is>
      </c>
      <c r="D812" s="21" t="inlineStr">
        <is>
          <t>P400</t>
        </is>
      </c>
      <c r="E812" s="21" t="n">
        <v>20</v>
      </c>
      <c r="F812" s="23" t="n">
        <v>0.05</v>
      </c>
      <c r="G812" s="24">
        <f>TEXT(B812,"mmm")</f>
        <v/>
      </c>
      <c r="H812" s="24">
        <f>HLOOKUP(C812,Lookups!$H$4:$K$5,2,FALSE)</f>
        <v/>
      </c>
      <c r="I812" s="24">
        <f>VLOOKUP(D812,Lookups!$A$5:$E$10,2,FALSE)</f>
        <v/>
      </c>
      <c r="J812" s="24">
        <f>VLOOKUP(D812,Lookups!$A$5:$E$10,3,FALSE)</f>
        <v/>
      </c>
      <c r="K812" s="25">
        <f>VLOOKUP(D812,Lookups!$A$5:$E$10,4,FALSE)</f>
        <v/>
      </c>
      <c r="L812" s="25">
        <f>E812*K812*(1-F812)</f>
        <v/>
      </c>
      <c r="M812" s="25">
        <f>L812*VLOOKUP(D812,Lookups!$A$5:$E$10,5,FALSE)</f>
        <v/>
      </c>
    </row>
    <row r="813">
      <c r="A813" s="21" t="inlineStr">
        <is>
          <t>INV-10824</t>
        </is>
      </c>
      <c r="B813" s="22" t="n">
        <v>45907</v>
      </c>
      <c r="C813" s="21" t="inlineStr">
        <is>
          <t>R02</t>
        </is>
      </c>
      <c r="D813" s="21" t="inlineStr">
        <is>
          <t>P300</t>
        </is>
      </c>
      <c r="E813" s="21" t="n">
        <v>11</v>
      </c>
      <c r="F813" s="23" t="n">
        <v>0</v>
      </c>
      <c r="G813" s="24">
        <f>TEXT(B813,"mmm")</f>
        <v/>
      </c>
      <c r="H813" s="24">
        <f>HLOOKUP(C813,Lookups!$H$4:$K$5,2,FALSE)</f>
        <v/>
      </c>
      <c r="I813" s="24">
        <f>VLOOKUP(D813,Lookups!$A$5:$E$10,2,FALSE)</f>
        <v/>
      </c>
      <c r="J813" s="24">
        <f>VLOOKUP(D813,Lookups!$A$5:$E$10,3,FALSE)</f>
        <v/>
      </c>
      <c r="K813" s="25">
        <f>VLOOKUP(D813,Lookups!$A$5:$E$10,4,FALSE)</f>
        <v/>
      </c>
      <c r="L813" s="25">
        <f>E813*K813*(1-F813)</f>
        <v/>
      </c>
      <c r="M813" s="25">
        <f>L813*VLOOKUP(D813,Lookups!$A$5:$E$10,5,FALSE)</f>
        <v/>
      </c>
    </row>
    <row r="814">
      <c r="A814" s="21" t="inlineStr">
        <is>
          <t>INV-10924</t>
        </is>
      </c>
      <c r="B814" s="22" t="n">
        <v>45907</v>
      </c>
      <c r="C814" s="21" t="inlineStr">
        <is>
          <t>R03</t>
        </is>
      </c>
      <c r="D814" s="21" t="inlineStr">
        <is>
          <t>P100</t>
        </is>
      </c>
      <c r="E814" s="21" t="n">
        <v>21</v>
      </c>
      <c r="F814" s="23" t="n">
        <v>0</v>
      </c>
      <c r="G814" s="24">
        <f>TEXT(B814,"mmm")</f>
        <v/>
      </c>
      <c r="H814" s="24">
        <f>HLOOKUP(C814,Lookups!$H$4:$K$5,2,FALSE)</f>
        <v/>
      </c>
      <c r="I814" s="24">
        <f>VLOOKUP(D814,Lookups!$A$5:$E$10,2,FALSE)</f>
        <v/>
      </c>
      <c r="J814" s="24">
        <f>VLOOKUP(D814,Lookups!$A$5:$E$10,3,FALSE)</f>
        <v/>
      </c>
      <c r="K814" s="25">
        <f>VLOOKUP(D814,Lookups!$A$5:$E$10,4,FALSE)</f>
        <v/>
      </c>
      <c r="L814" s="25">
        <f>E814*K814*(1-F814)</f>
        <v/>
      </c>
      <c r="M814" s="25">
        <f>L814*VLOOKUP(D814,Lookups!$A$5:$E$10,5,FALSE)</f>
        <v/>
      </c>
    </row>
    <row r="815">
      <c r="A815" s="21" t="inlineStr">
        <is>
          <t>INV-10974</t>
        </is>
      </c>
      <c r="B815" s="22" t="n">
        <v>45907</v>
      </c>
      <c r="C815" s="21" t="inlineStr">
        <is>
          <t>R01</t>
        </is>
      </c>
      <c r="D815" s="21" t="inlineStr">
        <is>
          <t>P400</t>
        </is>
      </c>
      <c r="E815" s="21" t="n">
        <v>17</v>
      </c>
      <c r="F815" s="23" t="n">
        <v>0</v>
      </c>
      <c r="G815" s="24">
        <f>TEXT(B815,"mmm")</f>
        <v/>
      </c>
      <c r="H815" s="24">
        <f>HLOOKUP(C815,Lookups!$H$4:$K$5,2,FALSE)</f>
        <v/>
      </c>
      <c r="I815" s="24">
        <f>VLOOKUP(D815,Lookups!$A$5:$E$10,2,FALSE)</f>
        <v/>
      </c>
      <c r="J815" s="24">
        <f>VLOOKUP(D815,Lookups!$A$5:$E$10,3,FALSE)</f>
        <v/>
      </c>
      <c r="K815" s="25">
        <f>VLOOKUP(D815,Lookups!$A$5:$E$10,4,FALSE)</f>
        <v/>
      </c>
      <c r="L815" s="25">
        <f>E815*K815*(1-F815)</f>
        <v/>
      </c>
      <c r="M815" s="25">
        <f>L815*VLOOKUP(D815,Lookups!$A$5:$E$10,5,FALSE)</f>
        <v/>
      </c>
    </row>
    <row r="816">
      <c r="A816" s="21" t="inlineStr">
        <is>
          <t>INV-11052</t>
        </is>
      </c>
      <c r="B816" s="22" t="n">
        <v>45907</v>
      </c>
      <c r="C816" s="21" t="inlineStr">
        <is>
          <t>R03</t>
        </is>
      </c>
      <c r="D816" s="21" t="inlineStr">
        <is>
          <t>P300</t>
        </is>
      </c>
      <c r="E816" s="21" t="n">
        <v>18</v>
      </c>
      <c r="F816" s="23" t="n">
        <v>0</v>
      </c>
      <c r="G816" s="24">
        <f>TEXT(B816,"mmm")</f>
        <v/>
      </c>
      <c r="H816" s="24">
        <f>HLOOKUP(C816,Lookups!$H$4:$K$5,2,FALSE)</f>
        <v/>
      </c>
      <c r="I816" s="24">
        <f>VLOOKUP(D816,Lookups!$A$5:$E$10,2,FALSE)</f>
        <v/>
      </c>
      <c r="J816" s="24">
        <f>VLOOKUP(D816,Lookups!$A$5:$E$10,3,FALSE)</f>
        <v/>
      </c>
      <c r="K816" s="25">
        <f>VLOOKUP(D816,Lookups!$A$5:$E$10,4,FALSE)</f>
        <v/>
      </c>
      <c r="L816" s="25">
        <f>E816*K816*(1-F816)</f>
        <v/>
      </c>
      <c r="M816" s="25">
        <f>L816*VLOOKUP(D816,Lookups!$A$5:$E$10,5,FALSE)</f>
        <v/>
      </c>
    </row>
    <row r="817">
      <c r="A817" s="21" t="inlineStr">
        <is>
          <t>INV-10605</t>
        </is>
      </c>
      <c r="B817" s="22" t="n">
        <v>45908</v>
      </c>
      <c r="C817" s="21" t="inlineStr">
        <is>
          <t>R02</t>
        </is>
      </c>
      <c r="D817" s="21" t="inlineStr">
        <is>
          <t>P300</t>
        </is>
      </c>
      <c r="E817" s="21" t="n">
        <v>6</v>
      </c>
      <c r="F817" s="23" t="n">
        <v>0.05</v>
      </c>
      <c r="G817" s="24">
        <f>TEXT(B817,"mmm")</f>
        <v/>
      </c>
      <c r="H817" s="24">
        <f>HLOOKUP(C817,Lookups!$H$4:$K$5,2,FALSE)</f>
        <v/>
      </c>
      <c r="I817" s="24">
        <f>VLOOKUP(D817,Lookups!$A$5:$E$10,2,FALSE)</f>
        <v/>
      </c>
      <c r="J817" s="24">
        <f>VLOOKUP(D817,Lookups!$A$5:$E$10,3,FALSE)</f>
        <v/>
      </c>
      <c r="K817" s="25">
        <f>VLOOKUP(D817,Lookups!$A$5:$E$10,4,FALSE)</f>
        <v/>
      </c>
      <c r="L817" s="25">
        <f>E817*K817*(1-F817)</f>
        <v/>
      </c>
      <c r="M817" s="25">
        <f>L817*VLOOKUP(D817,Lookups!$A$5:$E$10,5,FALSE)</f>
        <v/>
      </c>
    </row>
    <row r="818">
      <c r="A818" s="21" t="inlineStr">
        <is>
          <t>INV-10609</t>
        </is>
      </c>
      <c r="B818" s="22" t="n">
        <v>45908</v>
      </c>
      <c r="C818" s="21" t="inlineStr">
        <is>
          <t>R01</t>
        </is>
      </c>
      <c r="D818" s="21" t="inlineStr">
        <is>
          <t>P200</t>
        </is>
      </c>
      <c r="E818" s="21" t="n">
        <v>19</v>
      </c>
      <c r="F818" s="23" t="n">
        <v>0</v>
      </c>
      <c r="G818" s="24">
        <f>TEXT(B818,"mmm")</f>
        <v/>
      </c>
      <c r="H818" s="24">
        <f>HLOOKUP(C818,Lookups!$H$4:$K$5,2,FALSE)</f>
        <v/>
      </c>
      <c r="I818" s="24">
        <f>VLOOKUP(D818,Lookups!$A$5:$E$10,2,FALSE)</f>
        <v/>
      </c>
      <c r="J818" s="24">
        <f>VLOOKUP(D818,Lookups!$A$5:$E$10,3,FALSE)</f>
        <v/>
      </c>
      <c r="K818" s="25">
        <f>VLOOKUP(D818,Lookups!$A$5:$E$10,4,FALSE)</f>
        <v/>
      </c>
      <c r="L818" s="25">
        <f>E818*K818*(1-F818)</f>
        <v/>
      </c>
      <c r="M818" s="25">
        <f>L818*VLOOKUP(D818,Lookups!$A$5:$E$10,5,FALSE)</f>
        <v/>
      </c>
    </row>
    <row r="819">
      <c r="A819" s="21" t="inlineStr">
        <is>
          <t>INV-10794</t>
        </is>
      </c>
      <c r="B819" s="22" t="n">
        <v>45908</v>
      </c>
      <c r="C819" s="21" t="inlineStr">
        <is>
          <t>R04</t>
        </is>
      </c>
      <c r="D819" s="21" t="inlineStr">
        <is>
          <t>P500</t>
        </is>
      </c>
      <c r="E819" s="21" t="n">
        <v>6</v>
      </c>
      <c r="F819" s="23" t="n">
        <v>0.1</v>
      </c>
      <c r="G819" s="24">
        <f>TEXT(B819,"mmm")</f>
        <v/>
      </c>
      <c r="H819" s="24">
        <f>HLOOKUP(C819,Lookups!$H$4:$K$5,2,FALSE)</f>
        <v/>
      </c>
      <c r="I819" s="24">
        <f>VLOOKUP(D819,Lookups!$A$5:$E$10,2,FALSE)</f>
        <v/>
      </c>
      <c r="J819" s="24">
        <f>VLOOKUP(D819,Lookups!$A$5:$E$10,3,FALSE)</f>
        <v/>
      </c>
      <c r="K819" s="25">
        <f>VLOOKUP(D819,Lookups!$A$5:$E$10,4,FALSE)</f>
        <v/>
      </c>
      <c r="L819" s="25">
        <f>E819*K819*(1-F819)</f>
        <v/>
      </c>
      <c r="M819" s="25">
        <f>L819*VLOOKUP(D819,Lookups!$A$5:$E$10,5,FALSE)</f>
        <v/>
      </c>
    </row>
    <row r="820">
      <c r="A820" s="21" t="inlineStr">
        <is>
          <t>INV-10264</t>
        </is>
      </c>
      <c r="B820" s="22" t="n">
        <v>45909</v>
      </c>
      <c r="C820" s="21" t="inlineStr">
        <is>
          <t>R04</t>
        </is>
      </c>
      <c r="D820" s="21" t="inlineStr">
        <is>
          <t>P600</t>
        </is>
      </c>
      <c r="E820" s="21" t="n">
        <v>3</v>
      </c>
      <c r="F820" s="23" t="n">
        <v>0</v>
      </c>
      <c r="G820" s="24">
        <f>TEXT(B820,"mmm")</f>
        <v/>
      </c>
      <c r="H820" s="24">
        <f>HLOOKUP(C820,Lookups!$H$4:$K$5,2,FALSE)</f>
        <v/>
      </c>
      <c r="I820" s="24">
        <f>VLOOKUP(D820,Lookups!$A$5:$E$10,2,FALSE)</f>
        <v/>
      </c>
      <c r="J820" s="24">
        <f>VLOOKUP(D820,Lookups!$A$5:$E$10,3,FALSE)</f>
        <v/>
      </c>
      <c r="K820" s="25">
        <f>VLOOKUP(D820,Lookups!$A$5:$E$10,4,FALSE)</f>
        <v/>
      </c>
      <c r="L820" s="25">
        <f>E820*K820*(1-F820)</f>
        <v/>
      </c>
      <c r="M820" s="25">
        <f>L820*VLOOKUP(D820,Lookups!$A$5:$E$10,5,FALSE)</f>
        <v/>
      </c>
    </row>
    <row r="821">
      <c r="A821" s="21" t="inlineStr">
        <is>
          <t>INV-10784</t>
        </is>
      </c>
      <c r="B821" s="22" t="n">
        <v>45909</v>
      </c>
      <c r="C821" s="21" t="inlineStr">
        <is>
          <t>R01</t>
        </is>
      </c>
      <c r="D821" s="21" t="inlineStr">
        <is>
          <t>P600</t>
        </is>
      </c>
      <c r="E821" s="21" t="n">
        <v>8</v>
      </c>
      <c r="F821" s="23" t="n">
        <v>0</v>
      </c>
      <c r="G821" s="24">
        <f>TEXT(B821,"mmm")</f>
        <v/>
      </c>
      <c r="H821" s="24">
        <f>HLOOKUP(C821,Lookups!$H$4:$K$5,2,FALSE)</f>
        <v/>
      </c>
      <c r="I821" s="24">
        <f>VLOOKUP(D821,Lookups!$A$5:$E$10,2,FALSE)</f>
        <v/>
      </c>
      <c r="J821" s="24">
        <f>VLOOKUP(D821,Lookups!$A$5:$E$10,3,FALSE)</f>
        <v/>
      </c>
      <c r="K821" s="25">
        <f>VLOOKUP(D821,Lookups!$A$5:$E$10,4,FALSE)</f>
        <v/>
      </c>
      <c r="L821" s="25">
        <f>E821*K821*(1-F821)</f>
        <v/>
      </c>
      <c r="M821" s="25">
        <f>L821*VLOOKUP(D821,Lookups!$A$5:$E$10,5,FALSE)</f>
        <v/>
      </c>
    </row>
    <row r="822">
      <c r="A822" s="21" t="inlineStr">
        <is>
          <t>INV-11037</t>
        </is>
      </c>
      <c r="B822" s="22" t="n">
        <v>45909</v>
      </c>
      <c r="C822" s="21" t="inlineStr">
        <is>
          <t>R03</t>
        </is>
      </c>
      <c r="D822" s="21" t="inlineStr">
        <is>
          <t>P200</t>
        </is>
      </c>
      <c r="E822" s="21" t="n">
        <v>13</v>
      </c>
      <c r="F822" s="23" t="n">
        <v>0</v>
      </c>
      <c r="G822" s="24">
        <f>TEXT(B822,"mmm")</f>
        <v/>
      </c>
      <c r="H822" s="24">
        <f>HLOOKUP(C822,Lookups!$H$4:$K$5,2,FALSE)</f>
        <v/>
      </c>
      <c r="I822" s="24">
        <f>VLOOKUP(D822,Lookups!$A$5:$E$10,2,FALSE)</f>
        <v/>
      </c>
      <c r="J822" s="24">
        <f>VLOOKUP(D822,Lookups!$A$5:$E$10,3,FALSE)</f>
        <v/>
      </c>
      <c r="K822" s="25">
        <f>VLOOKUP(D822,Lookups!$A$5:$E$10,4,FALSE)</f>
        <v/>
      </c>
      <c r="L822" s="25">
        <f>E822*K822*(1-F822)</f>
        <v/>
      </c>
      <c r="M822" s="25">
        <f>L822*VLOOKUP(D822,Lookups!$A$5:$E$10,5,FALSE)</f>
        <v/>
      </c>
    </row>
    <row r="823">
      <c r="A823" s="21" t="inlineStr">
        <is>
          <t>INV-10146</t>
        </is>
      </c>
      <c r="B823" s="22" t="n">
        <v>45911</v>
      </c>
      <c r="C823" s="21" t="inlineStr">
        <is>
          <t>R02</t>
        </is>
      </c>
      <c r="D823" s="21" t="inlineStr">
        <is>
          <t>P300</t>
        </is>
      </c>
      <c r="E823" s="21" t="n">
        <v>16</v>
      </c>
      <c r="F823" s="23" t="n">
        <v>0</v>
      </c>
      <c r="G823" s="24">
        <f>TEXT(B823,"mmm")</f>
        <v/>
      </c>
      <c r="H823" s="24">
        <f>HLOOKUP(C823,Lookups!$H$4:$K$5,2,FALSE)</f>
        <v/>
      </c>
      <c r="I823" s="24">
        <f>VLOOKUP(D823,Lookups!$A$5:$E$10,2,FALSE)</f>
        <v/>
      </c>
      <c r="J823" s="24">
        <f>VLOOKUP(D823,Lookups!$A$5:$E$10,3,FALSE)</f>
        <v/>
      </c>
      <c r="K823" s="25">
        <f>VLOOKUP(D823,Lookups!$A$5:$E$10,4,FALSE)</f>
        <v/>
      </c>
      <c r="L823" s="25">
        <f>E823*K823*(1-F823)</f>
        <v/>
      </c>
      <c r="M823" s="25">
        <f>L823*VLOOKUP(D823,Lookups!$A$5:$E$10,5,FALSE)</f>
        <v/>
      </c>
    </row>
    <row r="824">
      <c r="A824" s="21" t="inlineStr">
        <is>
          <t>INV-10456</t>
        </is>
      </c>
      <c r="B824" s="22" t="n">
        <v>45911</v>
      </c>
      <c r="C824" s="21" t="inlineStr">
        <is>
          <t>R03</t>
        </is>
      </c>
      <c r="D824" s="21" t="inlineStr">
        <is>
          <t>P200</t>
        </is>
      </c>
      <c r="E824" s="21" t="n">
        <v>2</v>
      </c>
      <c r="F824" s="23" t="n">
        <v>0</v>
      </c>
      <c r="G824" s="24">
        <f>TEXT(B824,"mmm")</f>
        <v/>
      </c>
      <c r="H824" s="24">
        <f>HLOOKUP(C824,Lookups!$H$4:$K$5,2,FALSE)</f>
        <v/>
      </c>
      <c r="I824" s="24">
        <f>VLOOKUP(D824,Lookups!$A$5:$E$10,2,FALSE)</f>
        <v/>
      </c>
      <c r="J824" s="24">
        <f>VLOOKUP(D824,Lookups!$A$5:$E$10,3,FALSE)</f>
        <v/>
      </c>
      <c r="K824" s="25">
        <f>VLOOKUP(D824,Lookups!$A$5:$E$10,4,FALSE)</f>
        <v/>
      </c>
      <c r="L824" s="25">
        <f>E824*K824*(1-F824)</f>
        <v/>
      </c>
      <c r="M824" s="25">
        <f>L824*VLOOKUP(D824,Lookups!$A$5:$E$10,5,FALSE)</f>
        <v/>
      </c>
    </row>
    <row r="825">
      <c r="A825" s="21" t="inlineStr">
        <is>
          <t>INV-10870</t>
        </is>
      </c>
      <c r="B825" s="22" t="n">
        <v>45911</v>
      </c>
      <c r="C825" s="21" t="inlineStr">
        <is>
          <t>R01</t>
        </is>
      </c>
      <c r="D825" s="21" t="inlineStr">
        <is>
          <t>P200</t>
        </is>
      </c>
      <c r="E825" s="21" t="n">
        <v>25</v>
      </c>
      <c r="F825" s="23" t="n">
        <v>0.1</v>
      </c>
      <c r="G825" s="24">
        <f>TEXT(B825,"mmm")</f>
        <v/>
      </c>
      <c r="H825" s="24">
        <f>HLOOKUP(C825,Lookups!$H$4:$K$5,2,FALSE)</f>
        <v/>
      </c>
      <c r="I825" s="24">
        <f>VLOOKUP(D825,Lookups!$A$5:$E$10,2,FALSE)</f>
        <v/>
      </c>
      <c r="J825" s="24">
        <f>VLOOKUP(D825,Lookups!$A$5:$E$10,3,FALSE)</f>
        <v/>
      </c>
      <c r="K825" s="25">
        <f>VLOOKUP(D825,Lookups!$A$5:$E$10,4,FALSE)</f>
        <v/>
      </c>
      <c r="L825" s="25">
        <f>E825*K825*(1-F825)</f>
        <v/>
      </c>
      <c r="M825" s="25">
        <f>L825*VLOOKUP(D825,Lookups!$A$5:$E$10,5,FALSE)</f>
        <v/>
      </c>
    </row>
    <row r="826">
      <c r="A826" s="21" t="inlineStr">
        <is>
          <t>INV-10294</t>
        </is>
      </c>
      <c r="B826" s="22" t="n">
        <v>45912</v>
      </c>
      <c r="C826" s="21" t="inlineStr">
        <is>
          <t>R04</t>
        </is>
      </c>
      <c r="D826" s="21" t="inlineStr">
        <is>
          <t>P600</t>
        </is>
      </c>
      <c r="E826" s="21" t="n">
        <v>6</v>
      </c>
      <c r="F826" s="23" t="n">
        <v>0</v>
      </c>
      <c r="G826" s="24">
        <f>TEXT(B826,"mmm")</f>
        <v/>
      </c>
      <c r="H826" s="24">
        <f>HLOOKUP(C826,Lookups!$H$4:$K$5,2,FALSE)</f>
        <v/>
      </c>
      <c r="I826" s="24">
        <f>VLOOKUP(D826,Lookups!$A$5:$E$10,2,FALSE)</f>
        <v/>
      </c>
      <c r="J826" s="24">
        <f>VLOOKUP(D826,Lookups!$A$5:$E$10,3,FALSE)</f>
        <v/>
      </c>
      <c r="K826" s="25">
        <f>VLOOKUP(D826,Lookups!$A$5:$E$10,4,FALSE)</f>
        <v/>
      </c>
      <c r="L826" s="25">
        <f>E826*K826*(1-F826)</f>
        <v/>
      </c>
      <c r="M826" s="25">
        <f>L826*VLOOKUP(D826,Lookups!$A$5:$E$10,5,FALSE)</f>
        <v/>
      </c>
    </row>
    <row r="827">
      <c r="A827" s="21" t="inlineStr">
        <is>
          <t>INV-10414</t>
        </is>
      </c>
      <c r="B827" s="22" t="n">
        <v>45912</v>
      </c>
      <c r="C827" s="21" t="inlineStr">
        <is>
          <t>R01</t>
        </is>
      </c>
      <c r="D827" s="21" t="inlineStr">
        <is>
          <t>P100</t>
        </is>
      </c>
      <c r="E827" s="21" t="n">
        <v>13</v>
      </c>
      <c r="F827" s="23" t="n">
        <v>0.1</v>
      </c>
      <c r="G827" s="24">
        <f>TEXT(B827,"mmm")</f>
        <v/>
      </c>
      <c r="H827" s="24">
        <f>HLOOKUP(C827,Lookups!$H$4:$K$5,2,FALSE)</f>
        <v/>
      </c>
      <c r="I827" s="24">
        <f>VLOOKUP(D827,Lookups!$A$5:$E$10,2,FALSE)</f>
        <v/>
      </c>
      <c r="J827" s="24">
        <f>VLOOKUP(D827,Lookups!$A$5:$E$10,3,FALSE)</f>
        <v/>
      </c>
      <c r="K827" s="25">
        <f>VLOOKUP(D827,Lookups!$A$5:$E$10,4,FALSE)</f>
        <v/>
      </c>
      <c r="L827" s="25">
        <f>E827*K827*(1-F827)</f>
        <v/>
      </c>
      <c r="M827" s="25">
        <f>L827*VLOOKUP(D827,Lookups!$A$5:$E$10,5,FALSE)</f>
        <v/>
      </c>
    </row>
    <row r="828">
      <c r="A828" s="21" t="inlineStr">
        <is>
          <t>INV-10672</t>
        </is>
      </c>
      <c r="B828" s="22" t="n">
        <v>45912</v>
      </c>
      <c r="C828" s="21" t="inlineStr">
        <is>
          <t>R03</t>
        </is>
      </c>
      <c r="D828" s="21" t="inlineStr">
        <is>
          <t>P400</t>
        </is>
      </c>
      <c r="E828" s="21" t="n">
        <v>2</v>
      </c>
      <c r="F828" s="23" t="n">
        <v>0.1</v>
      </c>
      <c r="G828" s="24">
        <f>TEXT(B828,"mmm")</f>
        <v/>
      </c>
      <c r="H828" s="24">
        <f>HLOOKUP(C828,Lookups!$H$4:$K$5,2,FALSE)</f>
        <v/>
      </c>
      <c r="I828" s="24">
        <f>VLOOKUP(D828,Lookups!$A$5:$E$10,2,FALSE)</f>
        <v/>
      </c>
      <c r="J828" s="24">
        <f>VLOOKUP(D828,Lookups!$A$5:$E$10,3,FALSE)</f>
        <v/>
      </c>
      <c r="K828" s="25">
        <f>VLOOKUP(D828,Lookups!$A$5:$E$10,4,FALSE)</f>
        <v/>
      </c>
      <c r="L828" s="25">
        <f>E828*K828*(1-F828)</f>
        <v/>
      </c>
      <c r="M828" s="25">
        <f>L828*VLOOKUP(D828,Lookups!$A$5:$E$10,5,FALSE)</f>
        <v/>
      </c>
    </row>
    <row r="829">
      <c r="A829" s="21" t="inlineStr">
        <is>
          <t>INV-10875</t>
        </is>
      </c>
      <c r="B829" s="22" t="n">
        <v>45912</v>
      </c>
      <c r="C829" s="21" t="inlineStr">
        <is>
          <t>R01</t>
        </is>
      </c>
      <c r="D829" s="21" t="inlineStr">
        <is>
          <t>P600</t>
        </is>
      </c>
      <c r="E829" s="21" t="n">
        <v>4</v>
      </c>
      <c r="F829" s="23" t="n">
        <v>0.1</v>
      </c>
      <c r="G829" s="24">
        <f>TEXT(B829,"mmm")</f>
        <v/>
      </c>
      <c r="H829" s="24">
        <f>HLOOKUP(C829,Lookups!$H$4:$K$5,2,FALSE)</f>
        <v/>
      </c>
      <c r="I829" s="24">
        <f>VLOOKUP(D829,Lookups!$A$5:$E$10,2,FALSE)</f>
        <v/>
      </c>
      <c r="J829" s="24">
        <f>VLOOKUP(D829,Lookups!$A$5:$E$10,3,FALSE)</f>
        <v/>
      </c>
      <c r="K829" s="25">
        <f>VLOOKUP(D829,Lookups!$A$5:$E$10,4,FALSE)</f>
        <v/>
      </c>
      <c r="L829" s="25">
        <f>E829*K829*(1-F829)</f>
        <v/>
      </c>
      <c r="M829" s="25">
        <f>L829*VLOOKUP(D829,Lookups!$A$5:$E$10,5,FALSE)</f>
        <v/>
      </c>
    </row>
    <row r="830">
      <c r="A830" s="21" t="inlineStr">
        <is>
          <t>INV-10351</t>
        </is>
      </c>
      <c r="B830" s="22" t="n">
        <v>45913</v>
      </c>
      <c r="C830" s="21" t="inlineStr">
        <is>
          <t>R01</t>
        </is>
      </c>
      <c r="D830" s="21" t="inlineStr">
        <is>
          <t>P500</t>
        </is>
      </c>
      <c r="E830" s="21" t="n">
        <v>21</v>
      </c>
      <c r="F830" s="23" t="n">
        <v>0</v>
      </c>
      <c r="G830" s="24">
        <f>TEXT(B830,"mmm")</f>
        <v/>
      </c>
      <c r="H830" s="24">
        <f>HLOOKUP(C830,Lookups!$H$4:$K$5,2,FALSE)</f>
        <v/>
      </c>
      <c r="I830" s="24">
        <f>VLOOKUP(D830,Lookups!$A$5:$E$10,2,FALSE)</f>
        <v/>
      </c>
      <c r="J830" s="24">
        <f>VLOOKUP(D830,Lookups!$A$5:$E$10,3,FALSE)</f>
        <v/>
      </c>
      <c r="K830" s="25">
        <f>VLOOKUP(D830,Lookups!$A$5:$E$10,4,FALSE)</f>
        <v/>
      </c>
      <c r="L830" s="25">
        <f>E830*K830*(1-F830)</f>
        <v/>
      </c>
      <c r="M830" s="25">
        <f>L830*VLOOKUP(D830,Lookups!$A$5:$E$10,5,FALSE)</f>
        <v/>
      </c>
    </row>
    <row r="831">
      <c r="A831" s="21" t="inlineStr">
        <is>
          <t>INV-10413</t>
        </is>
      </c>
      <c r="B831" s="22" t="n">
        <v>45913</v>
      </c>
      <c r="C831" s="21" t="inlineStr">
        <is>
          <t>R04</t>
        </is>
      </c>
      <c r="D831" s="21" t="inlineStr">
        <is>
          <t>P500</t>
        </is>
      </c>
      <c r="E831" s="21" t="n">
        <v>16</v>
      </c>
      <c r="F831" s="23" t="n">
        <v>0.05</v>
      </c>
      <c r="G831" s="24">
        <f>TEXT(B831,"mmm")</f>
        <v/>
      </c>
      <c r="H831" s="24">
        <f>HLOOKUP(C831,Lookups!$H$4:$K$5,2,FALSE)</f>
        <v/>
      </c>
      <c r="I831" s="24">
        <f>VLOOKUP(D831,Lookups!$A$5:$E$10,2,FALSE)</f>
        <v/>
      </c>
      <c r="J831" s="24">
        <f>VLOOKUP(D831,Lookups!$A$5:$E$10,3,FALSE)</f>
        <v/>
      </c>
      <c r="K831" s="25">
        <f>VLOOKUP(D831,Lookups!$A$5:$E$10,4,FALSE)</f>
        <v/>
      </c>
      <c r="L831" s="25">
        <f>E831*K831*(1-F831)</f>
        <v/>
      </c>
      <c r="M831" s="25">
        <f>L831*VLOOKUP(D831,Lookups!$A$5:$E$10,5,FALSE)</f>
        <v/>
      </c>
    </row>
    <row r="832">
      <c r="A832" s="21" t="inlineStr">
        <is>
          <t>INV-10519</t>
        </is>
      </c>
      <c r="B832" s="22" t="n">
        <v>45913</v>
      </c>
      <c r="C832" s="21" t="inlineStr">
        <is>
          <t>R03</t>
        </is>
      </c>
      <c r="D832" s="21" t="inlineStr">
        <is>
          <t>P500</t>
        </is>
      </c>
      <c r="E832" s="21" t="n">
        <v>9</v>
      </c>
      <c r="F832" s="23" t="n">
        <v>0.1</v>
      </c>
      <c r="G832" s="24">
        <f>TEXT(B832,"mmm")</f>
        <v/>
      </c>
      <c r="H832" s="24">
        <f>HLOOKUP(C832,Lookups!$H$4:$K$5,2,FALSE)</f>
        <v/>
      </c>
      <c r="I832" s="24">
        <f>VLOOKUP(D832,Lookups!$A$5:$E$10,2,FALSE)</f>
        <v/>
      </c>
      <c r="J832" s="24">
        <f>VLOOKUP(D832,Lookups!$A$5:$E$10,3,FALSE)</f>
        <v/>
      </c>
      <c r="K832" s="25">
        <f>VLOOKUP(D832,Lookups!$A$5:$E$10,4,FALSE)</f>
        <v/>
      </c>
      <c r="L832" s="25">
        <f>E832*K832*(1-F832)</f>
        <v/>
      </c>
      <c r="M832" s="25">
        <f>L832*VLOOKUP(D832,Lookups!$A$5:$E$10,5,FALSE)</f>
        <v/>
      </c>
    </row>
    <row r="833">
      <c r="A833" s="21" t="inlineStr">
        <is>
          <t>INV-10544</t>
        </is>
      </c>
      <c r="B833" s="22" t="n">
        <v>45914</v>
      </c>
      <c r="C833" s="21" t="inlineStr">
        <is>
          <t>R03</t>
        </is>
      </c>
      <c r="D833" s="21" t="inlineStr">
        <is>
          <t>P600</t>
        </is>
      </c>
      <c r="E833" s="21" t="n">
        <v>2</v>
      </c>
      <c r="F833" s="23" t="n">
        <v>0</v>
      </c>
      <c r="G833" s="24">
        <f>TEXT(B833,"mmm")</f>
        <v/>
      </c>
      <c r="H833" s="24">
        <f>HLOOKUP(C833,Lookups!$H$4:$K$5,2,FALSE)</f>
        <v/>
      </c>
      <c r="I833" s="24">
        <f>VLOOKUP(D833,Lookups!$A$5:$E$10,2,FALSE)</f>
        <v/>
      </c>
      <c r="J833" s="24">
        <f>VLOOKUP(D833,Lookups!$A$5:$E$10,3,FALSE)</f>
        <v/>
      </c>
      <c r="K833" s="25">
        <f>VLOOKUP(D833,Lookups!$A$5:$E$10,4,FALSE)</f>
        <v/>
      </c>
      <c r="L833" s="25">
        <f>E833*K833*(1-F833)</f>
        <v/>
      </c>
      <c r="M833" s="25">
        <f>L833*VLOOKUP(D833,Lookups!$A$5:$E$10,5,FALSE)</f>
        <v/>
      </c>
    </row>
    <row r="834">
      <c r="A834" s="21" t="inlineStr">
        <is>
          <t>INV-11161</t>
        </is>
      </c>
      <c r="B834" s="22" t="n">
        <v>45914</v>
      </c>
      <c r="C834" s="21" t="inlineStr">
        <is>
          <t>R02</t>
        </is>
      </c>
      <c r="D834" s="21" t="inlineStr">
        <is>
          <t>P400</t>
        </is>
      </c>
      <c r="E834" s="21" t="n">
        <v>25</v>
      </c>
      <c r="F834" s="23" t="n">
        <v>0</v>
      </c>
      <c r="G834" s="24">
        <f>TEXT(B834,"mmm")</f>
        <v/>
      </c>
      <c r="H834" s="24">
        <f>HLOOKUP(C834,Lookups!$H$4:$K$5,2,FALSE)</f>
        <v/>
      </c>
      <c r="I834" s="24">
        <f>VLOOKUP(D834,Lookups!$A$5:$E$10,2,FALSE)</f>
        <v/>
      </c>
      <c r="J834" s="24">
        <f>VLOOKUP(D834,Lookups!$A$5:$E$10,3,FALSE)</f>
        <v/>
      </c>
      <c r="K834" s="25">
        <f>VLOOKUP(D834,Lookups!$A$5:$E$10,4,FALSE)</f>
        <v/>
      </c>
      <c r="L834" s="25">
        <f>E834*K834*(1-F834)</f>
        <v/>
      </c>
      <c r="M834" s="25">
        <f>L834*VLOOKUP(D834,Lookups!$A$5:$E$10,5,FALSE)</f>
        <v/>
      </c>
    </row>
    <row r="835">
      <c r="A835" s="21" t="inlineStr">
        <is>
          <t>INV-11183</t>
        </is>
      </c>
      <c r="B835" s="22" t="n">
        <v>45914</v>
      </c>
      <c r="C835" s="21" t="inlineStr">
        <is>
          <t>R01</t>
        </is>
      </c>
      <c r="D835" s="21" t="inlineStr">
        <is>
          <t>P400</t>
        </is>
      </c>
      <c r="E835" s="21" t="n">
        <v>2</v>
      </c>
      <c r="F835" s="23" t="n">
        <v>0</v>
      </c>
      <c r="G835" s="24">
        <f>TEXT(B835,"mmm")</f>
        <v/>
      </c>
      <c r="H835" s="24">
        <f>HLOOKUP(C835,Lookups!$H$4:$K$5,2,FALSE)</f>
        <v/>
      </c>
      <c r="I835" s="24">
        <f>VLOOKUP(D835,Lookups!$A$5:$E$10,2,FALSE)</f>
        <v/>
      </c>
      <c r="J835" s="24">
        <f>VLOOKUP(D835,Lookups!$A$5:$E$10,3,FALSE)</f>
        <v/>
      </c>
      <c r="K835" s="25">
        <f>VLOOKUP(D835,Lookups!$A$5:$E$10,4,FALSE)</f>
        <v/>
      </c>
      <c r="L835" s="25">
        <f>E835*K835*(1-F835)</f>
        <v/>
      </c>
      <c r="M835" s="25">
        <f>L835*VLOOKUP(D835,Lookups!$A$5:$E$10,5,FALSE)</f>
        <v/>
      </c>
    </row>
    <row r="836">
      <c r="A836" s="21" t="inlineStr">
        <is>
          <t>INV-10059</t>
        </is>
      </c>
      <c r="B836" s="22" t="n">
        <v>45915</v>
      </c>
      <c r="C836" s="21" t="inlineStr">
        <is>
          <t>R02</t>
        </is>
      </c>
      <c r="D836" s="21" t="inlineStr">
        <is>
          <t>P500</t>
        </is>
      </c>
      <c r="E836" s="21" t="n">
        <v>2</v>
      </c>
      <c r="F836" s="23" t="n">
        <v>0</v>
      </c>
      <c r="G836" s="24">
        <f>TEXT(B836,"mmm")</f>
        <v/>
      </c>
      <c r="H836" s="24">
        <f>HLOOKUP(C836,Lookups!$H$4:$K$5,2,FALSE)</f>
        <v/>
      </c>
      <c r="I836" s="24">
        <f>VLOOKUP(D836,Lookups!$A$5:$E$10,2,FALSE)</f>
        <v/>
      </c>
      <c r="J836" s="24">
        <f>VLOOKUP(D836,Lookups!$A$5:$E$10,3,FALSE)</f>
        <v/>
      </c>
      <c r="K836" s="25">
        <f>VLOOKUP(D836,Lookups!$A$5:$E$10,4,FALSE)</f>
        <v/>
      </c>
      <c r="L836" s="25">
        <f>E836*K836*(1-F836)</f>
        <v/>
      </c>
      <c r="M836" s="25">
        <f>L836*VLOOKUP(D836,Lookups!$A$5:$E$10,5,FALSE)</f>
        <v/>
      </c>
    </row>
    <row r="837">
      <c r="A837" s="21" t="inlineStr">
        <is>
          <t>INV-10963</t>
        </is>
      </c>
      <c r="B837" s="22" t="n">
        <v>45915</v>
      </c>
      <c r="C837" s="21" t="inlineStr">
        <is>
          <t>R02</t>
        </is>
      </c>
      <c r="D837" s="21" t="inlineStr">
        <is>
          <t>P100</t>
        </is>
      </c>
      <c r="E837" s="21" t="n">
        <v>20</v>
      </c>
      <c r="F837" s="23" t="n">
        <v>0</v>
      </c>
      <c r="G837" s="24">
        <f>TEXT(B837,"mmm")</f>
        <v/>
      </c>
      <c r="H837" s="24">
        <f>HLOOKUP(C837,Lookups!$H$4:$K$5,2,FALSE)</f>
        <v/>
      </c>
      <c r="I837" s="24">
        <f>VLOOKUP(D837,Lookups!$A$5:$E$10,2,FALSE)</f>
        <v/>
      </c>
      <c r="J837" s="24">
        <f>VLOOKUP(D837,Lookups!$A$5:$E$10,3,FALSE)</f>
        <v/>
      </c>
      <c r="K837" s="25">
        <f>VLOOKUP(D837,Lookups!$A$5:$E$10,4,FALSE)</f>
        <v/>
      </c>
      <c r="L837" s="25">
        <f>E837*K837*(1-F837)</f>
        <v/>
      </c>
      <c r="M837" s="25">
        <f>L837*VLOOKUP(D837,Lookups!$A$5:$E$10,5,FALSE)</f>
        <v/>
      </c>
    </row>
    <row r="838">
      <c r="A838" s="21" t="inlineStr">
        <is>
          <t>INV-10004</t>
        </is>
      </c>
      <c r="B838" s="22" t="n">
        <v>45916</v>
      </c>
      <c r="C838" s="21" t="inlineStr">
        <is>
          <t>R01</t>
        </is>
      </c>
      <c r="D838" s="21" t="inlineStr">
        <is>
          <t>P500</t>
        </is>
      </c>
      <c r="E838" s="21" t="n">
        <v>18</v>
      </c>
      <c r="F838" s="23" t="n">
        <v>0</v>
      </c>
      <c r="G838" s="24">
        <f>TEXT(B838,"mmm")</f>
        <v/>
      </c>
      <c r="H838" s="24">
        <f>HLOOKUP(C838,Lookups!$H$4:$K$5,2,FALSE)</f>
        <v/>
      </c>
      <c r="I838" s="24">
        <f>VLOOKUP(D838,Lookups!$A$5:$E$10,2,FALSE)</f>
        <v/>
      </c>
      <c r="J838" s="24">
        <f>VLOOKUP(D838,Lookups!$A$5:$E$10,3,FALSE)</f>
        <v/>
      </c>
      <c r="K838" s="25">
        <f>VLOOKUP(D838,Lookups!$A$5:$E$10,4,FALSE)</f>
        <v/>
      </c>
      <c r="L838" s="25">
        <f>E838*K838*(1-F838)</f>
        <v/>
      </c>
      <c r="M838" s="25">
        <f>L838*VLOOKUP(D838,Lookups!$A$5:$E$10,5,FALSE)</f>
        <v/>
      </c>
    </row>
    <row r="839">
      <c r="A839" s="21" t="inlineStr">
        <is>
          <t>INV-10073</t>
        </is>
      </c>
      <c r="B839" s="22" t="n">
        <v>45916</v>
      </c>
      <c r="C839" s="21" t="inlineStr">
        <is>
          <t>R03</t>
        </is>
      </c>
      <c r="D839" s="21" t="inlineStr">
        <is>
          <t>P400</t>
        </is>
      </c>
      <c r="E839" s="21" t="n">
        <v>2</v>
      </c>
      <c r="F839" s="23" t="n">
        <v>0</v>
      </c>
      <c r="G839" s="24">
        <f>TEXT(B839,"mmm")</f>
        <v/>
      </c>
      <c r="H839" s="24">
        <f>HLOOKUP(C839,Lookups!$H$4:$K$5,2,FALSE)</f>
        <v/>
      </c>
      <c r="I839" s="24">
        <f>VLOOKUP(D839,Lookups!$A$5:$E$10,2,FALSE)</f>
        <v/>
      </c>
      <c r="J839" s="24">
        <f>VLOOKUP(D839,Lookups!$A$5:$E$10,3,FALSE)</f>
        <v/>
      </c>
      <c r="K839" s="25">
        <f>VLOOKUP(D839,Lookups!$A$5:$E$10,4,FALSE)</f>
        <v/>
      </c>
      <c r="L839" s="25">
        <f>E839*K839*(1-F839)</f>
        <v/>
      </c>
      <c r="M839" s="25">
        <f>L839*VLOOKUP(D839,Lookups!$A$5:$E$10,5,FALSE)</f>
        <v/>
      </c>
    </row>
    <row r="840">
      <c r="A840" s="21" t="inlineStr">
        <is>
          <t>INV-10316</t>
        </is>
      </c>
      <c r="B840" s="22" t="n">
        <v>45916</v>
      </c>
      <c r="C840" s="21" t="inlineStr">
        <is>
          <t>R02</t>
        </is>
      </c>
      <c r="D840" s="21" t="inlineStr">
        <is>
          <t>P600</t>
        </is>
      </c>
      <c r="E840" s="21" t="n">
        <v>2</v>
      </c>
      <c r="F840" s="23" t="n">
        <v>0</v>
      </c>
      <c r="G840" s="24">
        <f>TEXT(B840,"mmm")</f>
        <v/>
      </c>
      <c r="H840" s="24">
        <f>HLOOKUP(C840,Lookups!$H$4:$K$5,2,FALSE)</f>
        <v/>
      </c>
      <c r="I840" s="24">
        <f>VLOOKUP(D840,Lookups!$A$5:$E$10,2,FALSE)</f>
        <v/>
      </c>
      <c r="J840" s="24">
        <f>VLOOKUP(D840,Lookups!$A$5:$E$10,3,FALSE)</f>
        <v/>
      </c>
      <c r="K840" s="25">
        <f>VLOOKUP(D840,Lookups!$A$5:$E$10,4,FALSE)</f>
        <v/>
      </c>
      <c r="L840" s="25">
        <f>E840*K840*(1-F840)</f>
        <v/>
      </c>
      <c r="M840" s="25">
        <f>L840*VLOOKUP(D840,Lookups!$A$5:$E$10,5,FALSE)</f>
        <v/>
      </c>
    </row>
    <row r="841">
      <c r="A841" s="21" t="inlineStr">
        <is>
          <t>INV-10692</t>
        </is>
      </c>
      <c r="B841" s="22" t="n">
        <v>45916</v>
      </c>
      <c r="C841" s="21" t="inlineStr">
        <is>
          <t>R04</t>
        </is>
      </c>
      <c r="D841" s="21" t="inlineStr">
        <is>
          <t>P200</t>
        </is>
      </c>
      <c r="E841" s="21" t="n">
        <v>3</v>
      </c>
      <c r="F841" s="23" t="n">
        <v>0</v>
      </c>
      <c r="G841" s="24">
        <f>TEXT(B841,"mmm")</f>
        <v/>
      </c>
      <c r="H841" s="24">
        <f>HLOOKUP(C841,Lookups!$H$4:$K$5,2,FALSE)</f>
        <v/>
      </c>
      <c r="I841" s="24">
        <f>VLOOKUP(D841,Lookups!$A$5:$E$10,2,FALSE)</f>
        <v/>
      </c>
      <c r="J841" s="24">
        <f>VLOOKUP(D841,Lookups!$A$5:$E$10,3,FALSE)</f>
        <v/>
      </c>
      <c r="K841" s="25">
        <f>VLOOKUP(D841,Lookups!$A$5:$E$10,4,FALSE)</f>
        <v/>
      </c>
      <c r="L841" s="25">
        <f>E841*K841*(1-F841)</f>
        <v/>
      </c>
      <c r="M841" s="25">
        <f>L841*VLOOKUP(D841,Lookups!$A$5:$E$10,5,FALSE)</f>
        <v/>
      </c>
    </row>
    <row r="842">
      <c r="A842" s="21" t="inlineStr">
        <is>
          <t>INV-10891</t>
        </is>
      </c>
      <c r="B842" s="22" t="n">
        <v>45916</v>
      </c>
      <c r="C842" s="21" t="inlineStr">
        <is>
          <t>R04</t>
        </is>
      </c>
      <c r="D842" s="21" t="inlineStr">
        <is>
          <t>P400</t>
        </is>
      </c>
      <c r="E842" s="21" t="n">
        <v>20</v>
      </c>
      <c r="F842" s="23" t="n">
        <v>0</v>
      </c>
      <c r="G842" s="24">
        <f>TEXT(B842,"mmm")</f>
        <v/>
      </c>
      <c r="H842" s="24">
        <f>HLOOKUP(C842,Lookups!$H$4:$K$5,2,FALSE)</f>
        <v/>
      </c>
      <c r="I842" s="24">
        <f>VLOOKUP(D842,Lookups!$A$5:$E$10,2,FALSE)</f>
        <v/>
      </c>
      <c r="J842" s="24">
        <f>VLOOKUP(D842,Lookups!$A$5:$E$10,3,FALSE)</f>
        <v/>
      </c>
      <c r="K842" s="25">
        <f>VLOOKUP(D842,Lookups!$A$5:$E$10,4,FALSE)</f>
        <v/>
      </c>
      <c r="L842" s="25">
        <f>E842*K842*(1-F842)</f>
        <v/>
      </c>
      <c r="M842" s="25">
        <f>L842*VLOOKUP(D842,Lookups!$A$5:$E$10,5,FALSE)</f>
        <v/>
      </c>
    </row>
    <row r="843">
      <c r="A843" s="21" t="inlineStr">
        <is>
          <t>INV-10031</t>
        </is>
      </c>
      <c r="B843" s="22" t="n">
        <v>45917</v>
      </c>
      <c r="C843" s="21" t="inlineStr">
        <is>
          <t>R03</t>
        </is>
      </c>
      <c r="D843" s="21" t="inlineStr">
        <is>
          <t>P100</t>
        </is>
      </c>
      <c r="E843" s="21" t="n">
        <v>21</v>
      </c>
      <c r="F843" s="23" t="n">
        <v>0</v>
      </c>
      <c r="G843" s="24">
        <f>TEXT(B843,"mmm")</f>
        <v/>
      </c>
      <c r="H843" s="24">
        <f>HLOOKUP(C843,Lookups!$H$4:$K$5,2,FALSE)</f>
        <v/>
      </c>
      <c r="I843" s="24">
        <f>VLOOKUP(D843,Lookups!$A$5:$E$10,2,FALSE)</f>
        <v/>
      </c>
      <c r="J843" s="24">
        <f>VLOOKUP(D843,Lookups!$A$5:$E$10,3,FALSE)</f>
        <v/>
      </c>
      <c r="K843" s="25">
        <f>VLOOKUP(D843,Lookups!$A$5:$E$10,4,FALSE)</f>
        <v/>
      </c>
      <c r="L843" s="25">
        <f>E843*K843*(1-F843)</f>
        <v/>
      </c>
      <c r="M843" s="25">
        <f>L843*VLOOKUP(D843,Lookups!$A$5:$E$10,5,FALSE)</f>
        <v/>
      </c>
    </row>
    <row r="844">
      <c r="A844" s="21" t="inlineStr">
        <is>
          <t>INV-10095</t>
        </is>
      </c>
      <c r="B844" s="22" t="n">
        <v>45917</v>
      </c>
      <c r="C844" s="21" t="inlineStr">
        <is>
          <t>R04</t>
        </is>
      </c>
      <c r="D844" s="21" t="inlineStr">
        <is>
          <t>P300</t>
        </is>
      </c>
      <c r="E844" s="21" t="n">
        <v>11</v>
      </c>
      <c r="F844" s="23" t="n">
        <v>0.1</v>
      </c>
      <c r="G844" s="24">
        <f>TEXT(B844,"mmm")</f>
        <v/>
      </c>
      <c r="H844" s="24">
        <f>HLOOKUP(C844,Lookups!$H$4:$K$5,2,FALSE)</f>
        <v/>
      </c>
      <c r="I844" s="24">
        <f>VLOOKUP(D844,Lookups!$A$5:$E$10,2,FALSE)</f>
        <v/>
      </c>
      <c r="J844" s="24">
        <f>VLOOKUP(D844,Lookups!$A$5:$E$10,3,FALSE)</f>
        <v/>
      </c>
      <c r="K844" s="25">
        <f>VLOOKUP(D844,Lookups!$A$5:$E$10,4,FALSE)</f>
        <v/>
      </c>
      <c r="L844" s="25">
        <f>E844*K844*(1-F844)</f>
        <v/>
      </c>
      <c r="M844" s="25">
        <f>L844*VLOOKUP(D844,Lookups!$A$5:$E$10,5,FALSE)</f>
        <v/>
      </c>
    </row>
    <row r="845">
      <c r="A845" s="21" t="inlineStr">
        <is>
          <t>INV-10428</t>
        </is>
      </c>
      <c r="B845" s="22" t="n">
        <v>45917</v>
      </c>
      <c r="C845" s="21" t="inlineStr">
        <is>
          <t>R04</t>
        </is>
      </c>
      <c r="D845" s="21" t="inlineStr">
        <is>
          <t>P500</t>
        </is>
      </c>
      <c r="E845" s="21" t="n">
        <v>23</v>
      </c>
      <c r="F845" s="23" t="n">
        <v>0.05</v>
      </c>
      <c r="G845" s="24">
        <f>TEXT(B845,"mmm")</f>
        <v/>
      </c>
      <c r="H845" s="24">
        <f>HLOOKUP(C845,Lookups!$H$4:$K$5,2,FALSE)</f>
        <v/>
      </c>
      <c r="I845" s="24">
        <f>VLOOKUP(D845,Lookups!$A$5:$E$10,2,FALSE)</f>
        <v/>
      </c>
      <c r="J845" s="24">
        <f>VLOOKUP(D845,Lookups!$A$5:$E$10,3,FALSE)</f>
        <v/>
      </c>
      <c r="K845" s="25">
        <f>VLOOKUP(D845,Lookups!$A$5:$E$10,4,FALSE)</f>
        <v/>
      </c>
      <c r="L845" s="25">
        <f>E845*K845*(1-F845)</f>
        <v/>
      </c>
      <c r="M845" s="25">
        <f>L845*VLOOKUP(D845,Lookups!$A$5:$E$10,5,FALSE)</f>
        <v/>
      </c>
    </row>
    <row r="846">
      <c r="A846" s="21" t="inlineStr">
        <is>
          <t>INV-10872</t>
        </is>
      </c>
      <c r="B846" s="22" t="n">
        <v>45917</v>
      </c>
      <c r="C846" s="21" t="inlineStr">
        <is>
          <t>R04</t>
        </is>
      </c>
      <c r="D846" s="21" t="inlineStr">
        <is>
          <t>P200</t>
        </is>
      </c>
      <c r="E846" s="21" t="n">
        <v>13</v>
      </c>
      <c r="F846" s="23" t="n">
        <v>0</v>
      </c>
      <c r="G846" s="24">
        <f>TEXT(B846,"mmm")</f>
        <v/>
      </c>
      <c r="H846" s="24">
        <f>HLOOKUP(C846,Lookups!$H$4:$K$5,2,FALSE)</f>
        <v/>
      </c>
      <c r="I846" s="24">
        <f>VLOOKUP(D846,Lookups!$A$5:$E$10,2,FALSE)</f>
        <v/>
      </c>
      <c r="J846" s="24">
        <f>VLOOKUP(D846,Lookups!$A$5:$E$10,3,FALSE)</f>
        <v/>
      </c>
      <c r="K846" s="25">
        <f>VLOOKUP(D846,Lookups!$A$5:$E$10,4,FALSE)</f>
        <v/>
      </c>
      <c r="L846" s="25">
        <f>E846*K846*(1-F846)</f>
        <v/>
      </c>
      <c r="M846" s="25">
        <f>L846*VLOOKUP(D846,Lookups!$A$5:$E$10,5,FALSE)</f>
        <v/>
      </c>
    </row>
    <row r="847">
      <c r="A847" s="21" t="inlineStr">
        <is>
          <t>INV-11021</t>
        </is>
      </c>
      <c r="B847" s="22" t="n">
        <v>45917</v>
      </c>
      <c r="C847" s="21" t="inlineStr">
        <is>
          <t>R01</t>
        </is>
      </c>
      <c r="D847" s="21" t="inlineStr">
        <is>
          <t>P100</t>
        </is>
      </c>
      <c r="E847" s="21" t="n">
        <v>17</v>
      </c>
      <c r="F847" s="23" t="n">
        <v>0.05</v>
      </c>
      <c r="G847" s="24">
        <f>TEXT(B847,"mmm")</f>
        <v/>
      </c>
      <c r="H847" s="24">
        <f>HLOOKUP(C847,Lookups!$H$4:$K$5,2,FALSE)</f>
        <v/>
      </c>
      <c r="I847" s="24">
        <f>VLOOKUP(D847,Lookups!$A$5:$E$10,2,FALSE)</f>
        <v/>
      </c>
      <c r="J847" s="24">
        <f>VLOOKUP(D847,Lookups!$A$5:$E$10,3,FALSE)</f>
        <v/>
      </c>
      <c r="K847" s="25">
        <f>VLOOKUP(D847,Lookups!$A$5:$E$10,4,FALSE)</f>
        <v/>
      </c>
      <c r="L847" s="25">
        <f>E847*K847*(1-F847)</f>
        <v/>
      </c>
      <c r="M847" s="25">
        <f>L847*VLOOKUP(D847,Lookups!$A$5:$E$10,5,FALSE)</f>
        <v/>
      </c>
    </row>
    <row r="848">
      <c r="A848" s="21" t="inlineStr">
        <is>
          <t>INV-10024</t>
        </is>
      </c>
      <c r="B848" s="22" t="n">
        <v>45918</v>
      </c>
      <c r="C848" s="21" t="inlineStr">
        <is>
          <t>R01</t>
        </is>
      </c>
      <c r="D848" s="21" t="inlineStr">
        <is>
          <t>P400</t>
        </is>
      </c>
      <c r="E848" s="21" t="n">
        <v>25</v>
      </c>
      <c r="F848" s="23" t="n">
        <v>0</v>
      </c>
      <c r="G848" s="24">
        <f>TEXT(B848,"mmm")</f>
        <v/>
      </c>
      <c r="H848" s="24">
        <f>HLOOKUP(C848,Lookups!$H$4:$K$5,2,FALSE)</f>
        <v/>
      </c>
      <c r="I848" s="24">
        <f>VLOOKUP(D848,Lookups!$A$5:$E$10,2,FALSE)</f>
        <v/>
      </c>
      <c r="J848" s="24">
        <f>VLOOKUP(D848,Lookups!$A$5:$E$10,3,FALSE)</f>
        <v/>
      </c>
      <c r="K848" s="25">
        <f>VLOOKUP(D848,Lookups!$A$5:$E$10,4,FALSE)</f>
        <v/>
      </c>
      <c r="L848" s="25">
        <f>E848*K848*(1-F848)</f>
        <v/>
      </c>
      <c r="M848" s="25">
        <f>L848*VLOOKUP(D848,Lookups!$A$5:$E$10,5,FALSE)</f>
        <v/>
      </c>
    </row>
    <row r="849">
      <c r="A849" s="21" t="inlineStr">
        <is>
          <t>INV-10197</t>
        </is>
      </c>
      <c r="B849" s="22" t="n">
        <v>45918</v>
      </c>
      <c r="C849" s="21" t="inlineStr">
        <is>
          <t>R03</t>
        </is>
      </c>
      <c r="D849" s="21" t="inlineStr">
        <is>
          <t>P600</t>
        </is>
      </c>
      <c r="E849" s="21" t="n">
        <v>14</v>
      </c>
      <c r="F849" s="23" t="n">
        <v>0.1</v>
      </c>
      <c r="G849" s="24">
        <f>TEXT(B849,"mmm")</f>
        <v/>
      </c>
      <c r="H849" s="24">
        <f>HLOOKUP(C849,Lookups!$H$4:$K$5,2,FALSE)</f>
        <v/>
      </c>
      <c r="I849" s="24">
        <f>VLOOKUP(D849,Lookups!$A$5:$E$10,2,FALSE)</f>
        <v/>
      </c>
      <c r="J849" s="24">
        <f>VLOOKUP(D849,Lookups!$A$5:$E$10,3,FALSE)</f>
        <v/>
      </c>
      <c r="K849" s="25">
        <f>VLOOKUP(D849,Lookups!$A$5:$E$10,4,FALSE)</f>
        <v/>
      </c>
      <c r="L849" s="25">
        <f>E849*K849*(1-F849)</f>
        <v/>
      </c>
      <c r="M849" s="25">
        <f>L849*VLOOKUP(D849,Lookups!$A$5:$E$10,5,FALSE)</f>
        <v/>
      </c>
    </row>
    <row r="850">
      <c r="A850" s="21" t="inlineStr">
        <is>
          <t>INV-10326</t>
        </is>
      </c>
      <c r="B850" s="22" t="n">
        <v>45918</v>
      </c>
      <c r="C850" s="21" t="inlineStr">
        <is>
          <t>R01</t>
        </is>
      </c>
      <c r="D850" s="21" t="inlineStr">
        <is>
          <t>P300</t>
        </is>
      </c>
      <c r="E850" s="21" t="n">
        <v>12</v>
      </c>
      <c r="F850" s="23" t="n">
        <v>0.05</v>
      </c>
      <c r="G850" s="24">
        <f>TEXT(B850,"mmm")</f>
        <v/>
      </c>
      <c r="H850" s="24">
        <f>HLOOKUP(C850,Lookups!$H$4:$K$5,2,FALSE)</f>
        <v/>
      </c>
      <c r="I850" s="24">
        <f>VLOOKUP(D850,Lookups!$A$5:$E$10,2,FALSE)</f>
        <v/>
      </c>
      <c r="J850" s="24">
        <f>VLOOKUP(D850,Lookups!$A$5:$E$10,3,FALSE)</f>
        <v/>
      </c>
      <c r="K850" s="25">
        <f>VLOOKUP(D850,Lookups!$A$5:$E$10,4,FALSE)</f>
        <v/>
      </c>
      <c r="L850" s="25">
        <f>E850*K850*(1-F850)</f>
        <v/>
      </c>
      <c r="M850" s="25">
        <f>L850*VLOOKUP(D850,Lookups!$A$5:$E$10,5,FALSE)</f>
        <v/>
      </c>
    </row>
    <row r="851">
      <c r="A851" s="21" t="inlineStr">
        <is>
          <t>INV-10877</t>
        </is>
      </c>
      <c r="B851" s="22" t="n">
        <v>45918</v>
      </c>
      <c r="C851" s="21" t="inlineStr">
        <is>
          <t>R02</t>
        </is>
      </c>
      <c r="D851" s="21" t="inlineStr">
        <is>
          <t>P500</t>
        </is>
      </c>
      <c r="E851" s="21" t="n">
        <v>21</v>
      </c>
      <c r="F851" s="23" t="n">
        <v>0.1</v>
      </c>
      <c r="G851" s="24">
        <f>TEXT(B851,"mmm")</f>
        <v/>
      </c>
      <c r="H851" s="24">
        <f>HLOOKUP(C851,Lookups!$H$4:$K$5,2,FALSE)</f>
        <v/>
      </c>
      <c r="I851" s="24">
        <f>VLOOKUP(D851,Lookups!$A$5:$E$10,2,FALSE)</f>
        <v/>
      </c>
      <c r="J851" s="24">
        <f>VLOOKUP(D851,Lookups!$A$5:$E$10,3,FALSE)</f>
        <v/>
      </c>
      <c r="K851" s="25">
        <f>VLOOKUP(D851,Lookups!$A$5:$E$10,4,FALSE)</f>
        <v/>
      </c>
      <c r="L851" s="25">
        <f>E851*K851*(1-F851)</f>
        <v/>
      </c>
      <c r="M851" s="25">
        <f>L851*VLOOKUP(D851,Lookups!$A$5:$E$10,5,FALSE)</f>
        <v/>
      </c>
    </row>
    <row r="852">
      <c r="A852" s="21" t="inlineStr">
        <is>
          <t>INV-11181</t>
        </is>
      </c>
      <c r="B852" s="22" t="n">
        <v>45918</v>
      </c>
      <c r="C852" s="21" t="inlineStr">
        <is>
          <t>R01</t>
        </is>
      </c>
      <c r="D852" s="21" t="inlineStr">
        <is>
          <t>P600</t>
        </is>
      </c>
      <c r="E852" s="21" t="n">
        <v>11</v>
      </c>
      <c r="F852" s="23" t="n">
        <v>0.1</v>
      </c>
      <c r="G852" s="24">
        <f>TEXT(B852,"mmm")</f>
        <v/>
      </c>
      <c r="H852" s="24">
        <f>HLOOKUP(C852,Lookups!$H$4:$K$5,2,FALSE)</f>
        <v/>
      </c>
      <c r="I852" s="24">
        <f>VLOOKUP(D852,Lookups!$A$5:$E$10,2,FALSE)</f>
        <v/>
      </c>
      <c r="J852" s="24">
        <f>VLOOKUP(D852,Lookups!$A$5:$E$10,3,FALSE)</f>
        <v/>
      </c>
      <c r="K852" s="25">
        <f>VLOOKUP(D852,Lookups!$A$5:$E$10,4,FALSE)</f>
        <v/>
      </c>
      <c r="L852" s="25">
        <f>E852*K852*(1-F852)</f>
        <v/>
      </c>
      <c r="M852" s="25">
        <f>L852*VLOOKUP(D852,Lookups!$A$5:$E$10,5,FALSE)</f>
        <v/>
      </c>
    </row>
    <row r="853">
      <c r="A853" s="21" t="inlineStr">
        <is>
          <t>INV-10602</t>
        </is>
      </c>
      <c r="B853" s="22" t="n">
        <v>45919</v>
      </c>
      <c r="C853" s="21" t="inlineStr">
        <is>
          <t>R04</t>
        </is>
      </c>
      <c r="D853" s="21" t="inlineStr">
        <is>
          <t>P400</t>
        </is>
      </c>
      <c r="E853" s="21" t="n">
        <v>20</v>
      </c>
      <c r="F853" s="23" t="n">
        <v>0</v>
      </c>
      <c r="G853" s="24">
        <f>TEXT(B853,"mmm")</f>
        <v/>
      </c>
      <c r="H853" s="24">
        <f>HLOOKUP(C853,Lookups!$H$4:$K$5,2,FALSE)</f>
        <v/>
      </c>
      <c r="I853" s="24">
        <f>VLOOKUP(D853,Lookups!$A$5:$E$10,2,FALSE)</f>
        <v/>
      </c>
      <c r="J853" s="24">
        <f>VLOOKUP(D853,Lookups!$A$5:$E$10,3,FALSE)</f>
        <v/>
      </c>
      <c r="K853" s="25">
        <f>VLOOKUP(D853,Lookups!$A$5:$E$10,4,FALSE)</f>
        <v/>
      </c>
      <c r="L853" s="25">
        <f>E853*K853*(1-F853)</f>
        <v/>
      </c>
      <c r="M853" s="25">
        <f>L853*VLOOKUP(D853,Lookups!$A$5:$E$10,5,FALSE)</f>
        <v/>
      </c>
    </row>
    <row r="854">
      <c r="A854" s="21" t="inlineStr">
        <is>
          <t>INV-10845</t>
        </is>
      </c>
      <c r="B854" s="22" t="n">
        <v>45919</v>
      </c>
      <c r="C854" s="21" t="inlineStr">
        <is>
          <t>R01</t>
        </is>
      </c>
      <c r="D854" s="21" t="inlineStr">
        <is>
          <t>P600</t>
        </is>
      </c>
      <c r="E854" s="21" t="n">
        <v>10</v>
      </c>
      <c r="F854" s="23" t="n">
        <v>0</v>
      </c>
      <c r="G854" s="24">
        <f>TEXT(B854,"mmm")</f>
        <v/>
      </c>
      <c r="H854" s="24">
        <f>HLOOKUP(C854,Lookups!$H$4:$K$5,2,FALSE)</f>
        <v/>
      </c>
      <c r="I854" s="24">
        <f>VLOOKUP(D854,Lookups!$A$5:$E$10,2,FALSE)</f>
        <v/>
      </c>
      <c r="J854" s="24">
        <f>VLOOKUP(D854,Lookups!$A$5:$E$10,3,FALSE)</f>
        <v/>
      </c>
      <c r="K854" s="25">
        <f>VLOOKUP(D854,Lookups!$A$5:$E$10,4,FALSE)</f>
        <v/>
      </c>
      <c r="L854" s="25">
        <f>E854*K854*(1-F854)</f>
        <v/>
      </c>
      <c r="M854" s="25">
        <f>L854*VLOOKUP(D854,Lookups!$A$5:$E$10,5,FALSE)</f>
        <v/>
      </c>
    </row>
    <row r="855">
      <c r="A855" s="21" t="inlineStr">
        <is>
          <t>INV-10340</t>
        </is>
      </c>
      <c r="B855" s="22" t="n">
        <v>45920</v>
      </c>
      <c r="C855" s="21" t="inlineStr">
        <is>
          <t>R04</t>
        </is>
      </c>
      <c r="D855" s="21" t="inlineStr">
        <is>
          <t>P200</t>
        </is>
      </c>
      <c r="E855" s="21" t="n">
        <v>3</v>
      </c>
      <c r="F855" s="23" t="n">
        <v>0</v>
      </c>
      <c r="G855" s="24">
        <f>TEXT(B855,"mmm")</f>
        <v/>
      </c>
      <c r="H855" s="24">
        <f>HLOOKUP(C855,Lookups!$H$4:$K$5,2,FALSE)</f>
        <v/>
      </c>
      <c r="I855" s="24">
        <f>VLOOKUP(D855,Lookups!$A$5:$E$10,2,FALSE)</f>
        <v/>
      </c>
      <c r="J855" s="24">
        <f>VLOOKUP(D855,Lookups!$A$5:$E$10,3,FALSE)</f>
        <v/>
      </c>
      <c r="K855" s="25">
        <f>VLOOKUP(D855,Lookups!$A$5:$E$10,4,FALSE)</f>
        <v/>
      </c>
      <c r="L855" s="25">
        <f>E855*K855*(1-F855)</f>
        <v/>
      </c>
      <c r="M855" s="25">
        <f>L855*VLOOKUP(D855,Lookups!$A$5:$E$10,5,FALSE)</f>
        <v/>
      </c>
    </row>
    <row r="856">
      <c r="A856" s="21" t="inlineStr">
        <is>
          <t>INV-10189</t>
        </is>
      </c>
      <c r="B856" s="22" t="n">
        <v>45921</v>
      </c>
      <c r="C856" s="21" t="inlineStr">
        <is>
          <t>R04</t>
        </is>
      </c>
      <c r="D856" s="21" t="inlineStr">
        <is>
          <t>P100</t>
        </is>
      </c>
      <c r="E856" s="21" t="n">
        <v>14</v>
      </c>
      <c r="F856" s="23" t="n">
        <v>0</v>
      </c>
      <c r="G856" s="24">
        <f>TEXT(B856,"mmm")</f>
        <v/>
      </c>
      <c r="H856" s="24">
        <f>HLOOKUP(C856,Lookups!$H$4:$K$5,2,FALSE)</f>
        <v/>
      </c>
      <c r="I856" s="24">
        <f>VLOOKUP(D856,Lookups!$A$5:$E$10,2,FALSE)</f>
        <v/>
      </c>
      <c r="J856" s="24">
        <f>VLOOKUP(D856,Lookups!$A$5:$E$10,3,FALSE)</f>
        <v/>
      </c>
      <c r="K856" s="25">
        <f>VLOOKUP(D856,Lookups!$A$5:$E$10,4,FALSE)</f>
        <v/>
      </c>
      <c r="L856" s="25">
        <f>E856*K856*(1-F856)</f>
        <v/>
      </c>
      <c r="M856" s="25">
        <f>L856*VLOOKUP(D856,Lookups!$A$5:$E$10,5,FALSE)</f>
        <v/>
      </c>
    </row>
    <row r="857">
      <c r="A857" s="21" t="inlineStr">
        <is>
          <t>INV-10408</t>
        </is>
      </c>
      <c r="B857" s="22" t="n">
        <v>45921</v>
      </c>
      <c r="C857" s="21" t="inlineStr">
        <is>
          <t>R01</t>
        </is>
      </c>
      <c r="D857" s="21" t="inlineStr">
        <is>
          <t>P500</t>
        </is>
      </c>
      <c r="E857" s="21" t="n">
        <v>11</v>
      </c>
      <c r="F857" s="23" t="n">
        <v>0</v>
      </c>
      <c r="G857" s="24">
        <f>TEXT(B857,"mmm")</f>
        <v/>
      </c>
      <c r="H857" s="24">
        <f>HLOOKUP(C857,Lookups!$H$4:$K$5,2,FALSE)</f>
        <v/>
      </c>
      <c r="I857" s="24">
        <f>VLOOKUP(D857,Lookups!$A$5:$E$10,2,FALSE)</f>
        <v/>
      </c>
      <c r="J857" s="24">
        <f>VLOOKUP(D857,Lookups!$A$5:$E$10,3,FALSE)</f>
        <v/>
      </c>
      <c r="K857" s="25">
        <f>VLOOKUP(D857,Lookups!$A$5:$E$10,4,FALSE)</f>
        <v/>
      </c>
      <c r="L857" s="25">
        <f>E857*K857*(1-F857)</f>
        <v/>
      </c>
      <c r="M857" s="25">
        <f>L857*VLOOKUP(D857,Lookups!$A$5:$E$10,5,FALSE)</f>
        <v/>
      </c>
    </row>
    <row r="858">
      <c r="A858" s="21" t="inlineStr">
        <is>
          <t>INV-10964</t>
        </is>
      </c>
      <c r="B858" s="22" t="n">
        <v>45921</v>
      </c>
      <c r="C858" s="21" t="inlineStr">
        <is>
          <t>R04</t>
        </is>
      </c>
      <c r="D858" s="21" t="inlineStr">
        <is>
          <t>P200</t>
        </is>
      </c>
      <c r="E858" s="21" t="n">
        <v>6</v>
      </c>
      <c r="F858" s="23" t="n">
        <v>0</v>
      </c>
      <c r="G858" s="24">
        <f>TEXT(B858,"mmm")</f>
        <v/>
      </c>
      <c r="H858" s="24">
        <f>HLOOKUP(C858,Lookups!$H$4:$K$5,2,FALSE)</f>
        <v/>
      </c>
      <c r="I858" s="24">
        <f>VLOOKUP(D858,Lookups!$A$5:$E$10,2,FALSE)</f>
        <v/>
      </c>
      <c r="J858" s="24">
        <f>VLOOKUP(D858,Lookups!$A$5:$E$10,3,FALSE)</f>
        <v/>
      </c>
      <c r="K858" s="25">
        <f>VLOOKUP(D858,Lookups!$A$5:$E$10,4,FALSE)</f>
        <v/>
      </c>
      <c r="L858" s="25">
        <f>E858*K858*(1-F858)</f>
        <v/>
      </c>
      <c r="M858" s="25">
        <f>L858*VLOOKUP(D858,Lookups!$A$5:$E$10,5,FALSE)</f>
        <v/>
      </c>
    </row>
    <row r="859">
      <c r="A859" s="21" t="inlineStr">
        <is>
          <t>INV-10788</t>
        </is>
      </c>
      <c r="B859" s="22" t="n">
        <v>45922</v>
      </c>
      <c r="C859" s="21" t="inlineStr">
        <is>
          <t>R01</t>
        </is>
      </c>
      <c r="D859" s="21" t="inlineStr">
        <is>
          <t>P300</t>
        </is>
      </c>
      <c r="E859" s="21" t="n">
        <v>17</v>
      </c>
      <c r="F859" s="23" t="n">
        <v>0</v>
      </c>
      <c r="G859" s="24">
        <f>TEXT(B859,"mmm")</f>
        <v/>
      </c>
      <c r="H859" s="24">
        <f>HLOOKUP(C859,Lookups!$H$4:$K$5,2,FALSE)</f>
        <v/>
      </c>
      <c r="I859" s="24">
        <f>VLOOKUP(D859,Lookups!$A$5:$E$10,2,FALSE)</f>
        <v/>
      </c>
      <c r="J859" s="24">
        <f>VLOOKUP(D859,Lookups!$A$5:$E$10,3,FALSE)</f>
        <v/>
      </c>
      <c r="K859" s="25">
        <f>VLOOKUP(D859,Lookups!$A$5:$E$10,4,FALSE)</f>
        <v/>
      </c>
      <c r="L859" s="25">
        <f>E859*K859*(1-F859)</f>
        <v/>
      </c>
      <c r="M859" s="25">
        <f>L859*VLOOKUP(D859,Lookups!$A$5:$E$10,5,FALSE)</f>
        <v/>
      </c>
    </row>
    <row r="860">
      <c r="A860" s="21" t="inlineStr">
        <is>
          <t>INV-10809</t>
        </is>
      </c>
      <c r="B860" s="22" t="n">
        <v>45922</v>
      </c>
      <c r="C860" s="21" t="inlineStr">
        <is>
          <t>R01</t>
        </is>
      </c>
      <c r="D860" s="21" t="inlineStr">
        <is>
          <t>P200</t>
        </is>
      </c>
      <c r="E860" s="21" t="n">
        <v>20</v>
      </c>
      <c r="F860" s="23" t="n">
        <v>0.1</v>
      </c>
      <c r="G860" s="24">
        <f>TEXT(B860,"mmm")</f>
        <v/>
      </c>
      <c r="H860" s="24">
        <f>HLOOKUP(C860,Lookups!$H$4:$K$5,2,FALSE)</f>
        <v/>
      </c>
      <c r="I860" s="24">
        <f>VLOOKUP(D860,Lookups!$A$5:$E$10,2,FALSE)</f>
        <v/>
      </c>
      <c r="J860" s="24">
        <f>VLOOKUP(D860,Lookups!$A$5:$E$10,3,FALSE)</f>
        <v/>
      </c>
      <c r="K860" s="25">
        <f>VLOOKUP(D860,Lookups!$A$5:$E$10,4,FALSE)</f>
        <v/>
      </c>
      <c r="L860" s="25">
        <f>E860*K860*(1-F860)</f>
        <v/>
      </c>
      <c r="M860" s="25">
        <f>L860*VLOOKUP(D860,Lookups!$A$5:$E$10,5,FALSE)</f>
        <v/>
      </c>
    </row>
    <row r="861">
      <c r="A861" s="21" t="inlineStr">
        <is>
          <t>INV-11086</t>
        </is>
      </c>
      <c r="B861" s="22" t="n">
        <v>45922</v>
      </c>
      <c r="C861" s="21" t="inlineStr">
        <is>
          <t>R03</t>
        </is>
      </c>
      <c r="D861" s="21" t="inlineStr">
        <is>
          <t>P500</t>
        </is>
      </c>
      <c r="E861" s="21" t="n">
        <v>10</v>
      </c>
      <c r="F861" s="23" t="n">
        <v>0.05</v>
      </c>
      <c r="G861" s="24">
        <f>TEXT(B861,"mmm")</f>
        <v/>
      </c>
      <c r="H861" s="24">
        <f>HLOOKUP(C861,Lookups!$H$4:$K$5,2,FALSE)</f>
        <v/>
      </c>
      <c r="I861" s="24">
        <f>VLOOKUP(D861,Lookups!$A$5:$E$10,2,FALSE)</f>
        <v/>
      </c>
      <c r="J861" s="24">
        <f>VLOOKUP(D861,Lookups!$A$5:$E$10,3,FALSE)</f>
        <v/>
      </c>
      <c r="K861" s="25">
        <f>VLOOKUP(D861,Lookups!$A$5:$E$10,4,FALSE)</f>
        <v/>
      </c>
      <c r="L861" s="25">
        <f>E861*K861*(1-F861)</f>
        <v/>
      </c>
      <c r="M861" s="25">
        <f>L861*VLOOKUP(D861,Lookups!$A$5:$E$10,5,FALSE)</f>
        <v/>
      </c>
    </row>
    <row r="862">
      <c r="A862" s="21" t="inlineStr">
        <is>
          <t>INV-11017</t>
        </is>
      </c>
      <c r="B862" s="22" t="n">
        <v>45923</v>
      </c>
      <c r="C862" s="21" t="inlineStr">
        <is>
          <t>R01</t>
        </is>
      </c>
      <c r="D862" s="21" t="inlineStr">
        <is>
          <t>P100</t>
        </is>
      </c>
      <c r="E862" s="21" t="n">
        <v>3</v>
      </c>
      <c r="F862" s="23" t="n">
        <v>0.05</v>
      </c>
      <c r="G862" s="24">
        <f>TEXT(B862,"mmm")</f>
        <v/>
      </c>
      <c r="H862" s="24">
        <f>HLOOKUP(C862,Lookups!$H$4:$K$5,2,FALSE)</f>
        <v/>
      </c>
      <c r="I862" s="24">
        <f>VLOOKUP(D862,Lookups!$A$5:$E$10,2,FALSE)</f>
        <v/>
      </c>
      <c r="J862" s="24">
        <f>VLOOKUP(D862,Lookups!$A$5:$E$10,3,FALSE)</f>
        <v/>
      </c>
      <c r="K862" s="25">
        <f>VLOOKUP(D862,Lookups!$A$5:$E$10,4,FALSE)</f>
        <v/>
      </c>
      <c r="L862" s="25">
        <f>E862*K862*(1-F862)</f>
        <v/>
      </c>
      <c r="M862" s="25">
        <f>L862*VLOOKUP(D862,Lookups!$A$5:$E$10,5,FALSE)</f>
        <v/>
      </c>
    </row>
    <row r="863">
      <c r="A863" s="21" t="inlineStr">
        <is>
          <t>INV-10998</t>
        </is>
      </c>
      <c r="B863" s="22" t="n">
        <v>45924</v>
      </c>
      <c r="C863" s="21" t="inlineStr">
        <is>
          <t>R04</t>
        </is>
      </c>
      <c r="D863" s="21" t="inlineStr">
        <is>
          <t>P100</t>
        </is>
      </c>
      <c r="E863" s="21" t="n">
        <v>21</v>
      </c>
      <c r="F863" s="23" t="n">
        <v>0</v>
      </c>
      <c r="G863" s="24">
        <f>TEXT(B863,"mmm")</f>
        <v/>
      </c>
      <c r="H863" s="24">
        <f>HLOOKUP(C863,Lookups!$H$4:$K$5,2,FALSE)</f>
        <v/>
      </c>
      <c r="I863" s="24">
        <f>VLOOKUP(D863,Lookups!$A$5:$E$10,2,FALSE)</f>
        <v/>
      </c>
      <c r="J863" s="24">
        <f>VLOOKUP(D863,Lookups!$A$5:$E$10,3,FALSE)</f>
        <v/>
      </c>
      <c r="K863" s="25">
        <f>VLOOKUP(D863,Lookups!$A$5:$E$10,4,FALSE)</f>
        <v/>
      </c>
      <c r="L863" s="25">
        <f>E863*K863*(1-F863)</f>
        <v/>
      </c>
      <c r="M863" s="25">
        <f>L863*VLOOKUP(D863,Lookups!$A$5:$E$10,5,FALSE)</f>
        <v/>
      </c>
    </row>
    <row r="864">
      <c r="A864" s="21" t="inlineStr">
        <is>
          <t>INV-11190</t>
        </is>
      </c>
      <c r="B864" s="22" t="n">
        <v>45924</v>
      </c>
      <c r="C864" s="21" t="inlineStr">
        <is>
          <t>R02</t>
        </is>
      </c>
      <c r="D864" s="21" t="inlineStr">
        <is>
          <t>P600</t>
        </is>
      </c>
      <c r="E864" s="21" t="n">
        <v>14</v>
      </c>
      <c r="F864" s="23" t="n">
        <v>0</v>
      </c>
      <c r="G864" s="24">
        <f>TEXT(B864,"mmm")</f>
        <v/>
      </c>
      <c r="H864" s="24">
        <f>HLOOKUP(C864,Lookups!$H$4:$K$5,2,FALSE)</f>
        <v/>
      </c>
      <c r="I864" s="24">
        <f>VLOOKUP(D864,Lookups!$A$5:$E$10,2,FALSE)</f>
        <v/>
      </c>
      <c r="J864" s="24">
        <f>VLOOKUP(D864,Lookups!$A$5:$E$10,3,FALSE)</f>
        <v/>
      </c>
      <c r="K864" s="25">
        <f>VLOOKUP(D864,Lookups!$A$5:$E$10,4,FALSE)</f>
        <v/>
      </c>
      <c r="L864" s="25">
        <f>E864*K864*(1-F864)</f>
        <v/>
      </c>
      <c r="M864" s="25">
        <f>L864*VLOOKUP(D864,Lookups!$A$5:$E$10,5,FALSE)</f>
        <v/>
      </c>
    </row>
    <row r="865">
      <c r="A865" s="21" t="inlineStr">
        <is>
          <t>INV-10989</t>
        </is>
      </c>
      <c r="B865" s="22" t="n">
        <v>45925</v>
      </c>
      <c r="C865" s="21" t="inlineStr">
        <is>
          <t>R04</t>
        </is>
      </c>
      <c r="D865" s="21" t="inlineStr">
        <is>
          <t>P500</t>
        </is>
      </c>
      <c r="E865" s="21" t="n">
        <v>5</v>
      </c>
      <c r="F865" s="23" t="n">
        <v>0</v>
      </c>
      <c r="G865" s="24">
        <f>TEXT(B865,"mmm")</f>
        <v/>
      </c>
      <c r="H865" s="24">
        <f>HLOOKUP(C865,Lookups!$H$4:$K$5,2,FALSE)</f>
        <v/>
      </c>
      <c r="I865" s="24">
        <f>VLOOKUP(D865,Lookups!$A$5:$E$10,2,FALSE)</f>
        <v/>
      </c>
      <c r="J865" s="24">
        <f>VLOOKUP(D865,Lookups!$A$5:$E$10,3,FALSE)</f>
        <v/>
      </c>
      <c r="K865" s="25">
        <f>VLOOKUP(D865,Lookups!$A$5:$E$10,4,FALSE)</f>
        <v/>
      </c>
      <c r="L865" s="25">
        <f>E865*K865*(1-F865)</f>
        <v/>
      </c>
      <c r="M865" s="25">
        <f>L865*VLOOKUP(D865,Lookups!$A$5:$E$10,5,FALSE)</f>
        <v/>
      </c>
    </row>
    <row r="866">
      <c r="A866" s="21" t="inlineStr">
        <is>
          <t>INV-10354</t>
        </is>
      </c>
      <c r="B866" s="22" t="n">
        <v>45926</v>
      </c>
      <c r="C866" s="21" t="inlineStr">
        <is>
          <t>R01</t>
        </is>
      </c>
      <c r="D866" s="21" t="inlineStr">
        <is>
          <t>P300</t>
        </is>
      </c>
      <c r="E866" s="21" t="n">
        <v>17</v>
      </c>
      <c r="F866" s="23" t="n">
        <v>0</v>
      </c>
      <c r="G866" s="24">
        <f>TEXT(B866,"mmm")</f>
        <v/>
      </c>
      <c r="H866" s="24">
        <f>HLOOKUP(C866,Lookups!$H$4:$K$5,2,FALSE)</f>
        <v/>
      </c>
      <c r="I866" s="24">
        <f>VLOOKUP(D866,Lookups!$A$5:$E$10,2,FALSE)</f>
        <v/>
      </c>
      <c r="J866" s="24">
        <f>VLOOKUP(D866,Lookups!$A$5:$E$10,3,FALSE)</f>
        <v/>
      </c>
      <c r="K866" s="25">
        <f>VLOOKUP(D866,Lookups!$A$5:$E$10,4,FALSE)</f>
        <v/>
      </c>
      <c r="L866" s="25">
        <f>E866*K866*(1-F866)</f>
        <v/>
      </c>
      <c r="M866" s="25">
        <f>L866*VLOOKUP(D866,Lookups!$A$5:$E$10,5,FALSE)</f>
        <v/>
      </c>
    </row>
    <row r="867">
      <c r="A867" s="21" t="inlineStr">
        <is>
          <t>INV-10501</t>
        </is>
      </c>
      <c r="B867" s="22" t="n">
        <v>45926</v>
      </c>
      <c r="C867" s="21" t="inlineStr">
        <is>
          <t>R04</t>
        </is>
      </c>
      <c r="D867" s="21" t="inlineStr">
        <is>
          <t>P300</t>
        </is>
      </c>
      <c r="E867" s="21" t="n">
        <v>14</v>
      </c>
      <c r="F867" s="23" t="n">
        <v>0</v>
      </c>
      <c r="G867" s="24">
        <f>TEXT(B867,"mmm")</f>
        <v/>
      </c>
      <c r="H867" s="24">
        <f>HLOOKUP(C867,Lookups!$H$4:$K$5,2,FALSE)</f>
        <v/>
      </c>
      <c r="I867" s="24">
        <f>VLOOKUP(D867,Lookups!$A$5:$E$10,2,FALSE)</f>
        <v/>
      </c>
      <c r="J867" s="24">
        <f>VLOOKUP(D867,Lookups!$A$5:$E$10,3,FALSE)</f>
        <v/>
      </c>
      <c r="K867" s="25">
        <f>VLOOKUP(D867,Lookups!$A$5:$E$10,4,FALSE)</f>
        <v/>
      </c>
      <c r="L867" s="25">
        <f>E867*K867*(1-F867)</f>
        <v/>
      </c>
      <c r="M867" s="25">
        <f>L867*VLOOKUP(D867,Lookups!$A$5:$E$10,5,FALSE)</f>
        <v/>
      </c>
    </row>
    <row r="868">
      <c r="A868" s="21" t="inlineStr">
        <is>
          <t>INV-10671</t>
        </is>
      </c>
      <c r="B868" s="22" t="n">
        <v>45926</v>
      </c>
      <c r="C868" s="21" t="inlineStr">
        <is>
          <t>R03</t>
        </is>
      </c>
      <c r="D868" s="21" t="inlineStr">
        <is>
          <t>P100</t>
        </is>
      </c>
      <c r="E868" s="21" t="n">
        <v>23</v>
      </c>
      <c r="F868" s="23" t="n">
        <v>0</v>
      </c>
      <c r="G868" s="24">
        <f>TEXT(B868,"mmm")</f>
        <v/>
      </c>
      <c r="H868" s="24">
        <f>HLOOKUP(C868,Lookups!$H$4:$K$5,2,FALSE)</f>
        <v/>
      </c>
      <c r="I868" s="24">
        <f>VLOOKUP(D868,Lookups!$A$5:$E$10,2,FALSE)</f>
        <v/>
      </c>
      <c r="J868" s="24">
        <f>VLOOKUP(D868,Lookups!$A$5:$E$10,3,FALSE)</f>
        <v/>
      </c>
      <c r="K868" s="25">
        <f>VLOOKUP(D868,Lookups!$A$5:$E$10,4,FALSE)</f>
        <v/>
      </c>
      <c r="L868" s="25">
        <f>E868*K868*(1-F868)</f>
        <v/>
      </c>
      <c r="M868" s="25">
        <f>L868*VLOOKUP(D868,Lookups!$A$5:$E$10,5,FALSE)</f>
        <v/>
      </c>
    </row>
    <row r="869">
      <c r="A869" s="21" t="inlineStr">
        <is>
          <t>INV-11069</t>
        </is>
      </c>
      <c r="B869" s="22" t="n">
        <v>45926</v>
      </c>
      <c r="C869" s="21" t="inlineStr">
        <is>
          <t>R01</t>
        </is>
      </c>
      <c r="D869" s="21" t="inlineStr">
        <is>
          <t>P100</t>
        </is>
      </c>
      <c r="E869" s="21" t="n">
        <v>9</v>
      </c>
      <c r="F869" s="23" t="n">
        <v>0</v>
      </c>
      <c r="G869" s="24">
        <f>TEXT(B869,"mmm")</f>
        <v/>
      </c>
      <c r="H869" s="24">
        <f>HLOOKUP(C869,Lookups!$H$4:$K$5,2,FALSE)</f>
        <v/>
      </c>
      <c r="I869" s="24">
        <f>VLOOKUP(D869,Lookups!$A$5:$E$10,2,FALSE)</f>
        <v/>
      </c>
      <c r="J869" s="24">
        <f>VLOOKUP(D869,Lookups!$A$5:$E$10,3,FALSE)</f>
        <v/>
      </c>
      <c r="K869" s="25">
        <f>VLOOKUP(D869,Lookups!$A$5:$E$10,4,FALSE)</f>
        <v/>
      </c>
      <c r="L869" s="25">
        <f>E869*K869*(1-F869)</f>
        <v/>
      </c>
      <c r="M869" s="25">
        <f>L869*VLOOKUP(D869,Lookups!$A$5:$E$10,5,FALSE)</f>
        <v/>
      </c>
    </row>
    <row r="870">
      <c r="A870" s="21" t="inlineStr">
        <is>
          <t>INV-11076</t>
        </is>
      </c>
      <c r="B870" s="22" t="n">
        <v>45926</v>
      </c>
      <c r="C870" s="21" t="inlineStr">
        <is>
          <t>R03</t>
        </is>
      </c>
      <c r="D870" s="21" t="inlineStr">
        <is>
          <t>P600</t>
        </is>
      </c>
      <c r="E870" s="21" t="n">
        <v>12</v>
      </c>
      <c r="F870" s="23" t="n">
        <v>0.1</v>
      </c>
      <c r="G870" s="24">
        <f>TEXT(B870,"mmm")</f>
        <v/>
      </c>
      <c r="H870" s="24">
        <f>HLOOKUP(C870,Lookups!$H$4:$K$5,2,FALSE)</f>
        <v/>
      </c>
      <c r="I870" s="24">
        <f>VLOOKUP(D870,Lookups!$A$5:$E$10,2,FALSE)</f>
        <v/>
      </c>
      <c r="J870" s="24">
        <f>VLOOKUP(D870,Lookups!$A$5:$E$10,3,FALSE)</f>
        <v/>
      </c>
      <c r="K870" s="25">
        <f>VLOOKUP(D870,Lookups!$A$5:$E$10,4,FALSE)</f>
        <v/>
      </c>
      <c r="L870" s="25">
        <f>E870*K870*(1-F870)</f>
        <v/>
      </c>
      <c r="M870" s="25">
        <f>L870*VLOOKUP(D870,Lookups!$A$5:$E$10,5,FALSE)</f>
        <v/>
      </c>
    </row>
    <row r="871">
      <c r="A871" s="21" t="inlineStr">
        <is>
          <t>INV-11155</t>
        </is>
      </c>
      <c r="B871" s="22" t="n">
        <v>45926</v>
      </c>
      <c r="C871" s="21" t="inlineStr">
        <is>
          <t>R03</t>
        </is>
      </c>
      <c r="D871" s="21" t="inlineStr">
        <is>
          <t>P100</t>
        </is>
      </c>
      <c r="E871" s="21" t="n">
        <v>18</v>
      </c>
      <c r="F871" s="23" t="n">
        <v>0</v>
      </c>
      <c r="G871" s="24">
        <f>TEXT(B871,"mmm")</f>
        <v/>
      </c>
      <c r="H871" s="24">
        <f>HLOOKUP(C871,Lookups!$H$4:$K$5,2,FALSE)</f>
        <v/>
      </c>
      <c r="I871" s="24">
        <f>VLOOKUP(D871,Lookups!$A$5:$E$10,2,FALSE)</f>
        <v/>
      </c>
      <c r="J871" s="24">
        <f>VLOOKUP(D871,Lookups!$A$5:$E$10,3,FALSE)</f>
        <v/>
      </c>
      <c r="K871" s="25">
        <f>VLOOKUP(D871,Lookups!$A$5:$E$10,4,FALSE)</f>
        <v/>
      </c>
      <c r="L871" s="25">
        <f>E871*K871*(1-F871)</f>
        <v/>
      </c>
      <c r="M871" s="25">
        <f>L871*VLOOKUP(D871,Lookups!$A$5:$E$10,5,FALSE)</f>
        <v/>
      </c>
    </row>
    <row r="872">
      <c r="A872" s="21" t="inlineStr">
        <is>
          <t>INV-10732</t>
        </is>
      </c>
      <c r="B872" s="22" t="n">
        <v>45927</v>
      </c>
      <c r="C872" s="21" t="inlineStr">
        <is>
          <t>R01</t>
        </is>
      </c>
      <c r="D872" s="21" t="inlineStr">
        <is>
          <t>P300</t>
        </is>
      </c>
      <c r="E872" s="21" t="n">
        <v>12</v>
      </c>
      <c r="F872" s="23" t="n">
        <v>0.1</v>
      </c>
      <c r="G872" s="24">
        <f>TEXT(B872,"mmm")</f>
        <v/>
      </c>
      <c r="H872" s="24">
        <f>HLOOKUP(C872,Lookups!$H$4:$K$5,2,FALSE)</f>
        <v/>
      </c>
      <c r="I872" s="24">
        <f>VLOOKUP(D872,Lookups!$A$5:$E$10,2,FALSE)</f>
        <v/>
      </c>
      <c r="J872" s="24">
        <f>VLOOKUP(D872,Lookups!$A$5:$E$10,3,FALSE)</f>
        <v/>
      </c>
      <c r="K872" s="25">
        <f>VLOOKUP(D872,Lookups!$A$5:$E$10,4,FALSE)</f>
        <v/>
      </c>
      <c r="L872" s="25">
        <f>E872*K872*(1-F872)</f>
        <v/>
      </c>
      <c r="M872" s="25">
        <f>L872*VLOOKUP(D872,Lookups!$A$5:$E$10,5,FALSE)</f>
        <v/>
      </c>
    </row>
    <row r="873">
      <c r="A873" s="21" t="inlineStr">
        <is>
          <t>INV-10027</t>
        </is>
      </c>
      <c r="B873" s="22" t="n">
        <v>45928</v>
      </c>
      <c r="C873" s="21" t="inlineStr">
        <is>
          <t>R01</t>
        </is>
      </c>
      <c r="D873" s="21" t="inlineStr">
        <is>
          <t>P300</t>
        </is>
      </c>
      <c r="E873" s="21" t="n">
        <v>22</v>
      </c>
      <c r="F873" s="23" t="n">
        <v>0</v>
      </c>
      <c r="G873" s="24">
        <f>TEXT(B873,"mmm")</f>
        <v/>
      </c>
      <c r="H873" s="24">
        <f>HLOOKUP(C873,Lookups!$H$4:$K$5,2,FALSE)</f>
        <v/>
      </c>
      <c r="I873" s="24">
        <f>VLOOKUP(D873,Lookups!$A$5:$E$10,2,FALSE)</f>
        <v/>
      </c>
      <c r="J873" s="24">
        <f>VLOOKUP(D873,Lookups!$A$5:$E$10,3,FALSE)</f>
        <v/>
      </c>
      <c r="K873" s="25">
        <f>VLOOKUP(D873,Lookups!$A$5:$E$10,4,FALSE)</f>
        <v/>
      </c>
      <c r="L873" s="25">
        <f>E873*K873*(1-F873)</f>
        <v/>
      </c>
      <c r="M873" s="25">
        <f>L873*VLOOKUP(D873,Lookups!$A$5:$E$10,5,FALSE)</f>
        <v/>
      </c>
    </row>
    <row r="874">
      <c r="A874" s="21" t="inlineStr">
        <is>
          <t>INV-10474</t>
        </is>
      </c>
      <c r="B874" s="22" t="n">
        <v>45928</v>
      </c>
      <c r="C874" s="21" t="inlineStr">
        <is>
          <t>R03</t>
        </is>
      </c>
      <c r="D874" s="21" t="inlineStr">
        <is>
          <t>P600</t>
        </is>
      </c>
      <c r="E874" s="21" t="n">
        <v>3</v>
      </c>
      <c r="F874" s="23" t="n">
        <v>0</v>
      </c>
      <c r="G874" s="24">
        <f>TEXT(B874,"mmm")</f>
        <v/>
      </c>
      <c r="H874" s="24">
        <f>HLOOKUP(C874,Lookups!$H$4:$K$5,2,FALSE)</f>
        <v/>
      </c>
      <c r="I874" s="24">
        <f>VLOOKUP(D874,Lookups!$A$5:$E$10,2,FALSE)</f>
        <v/>
      </c>
      <c r="J874" s="24">
        <f>VLOOKUP(D874,Lookups!$A$5:$E$10,3,FALSE)</f>
        <v/>
      </c>
      <c r="K874" s="25">
        <f>VLOOKUP(D874,Lookups!$A$5:$E$10,4,FALSE)</f>
        <v/>
      </c>
      <c r="L874" s="25">
        <f>E874*K874*(1-F874)</f>
        <v/>
      </c>
      <c r="M874" s="25">
        <f>L874*VLOOKUP(D874,Lookups!$A$5:$E$10,5,FALSE)</f>
        <v/>
      </c>
    </row>
    <row r="875">
      <c r="A875" s="21" t="inlineStr">
        <is>
          <t>INV-10488</t>
        </is>
      </c>
      <c r="B875" s="22" t="n">
        <v>45928</v>
      </c>
      <c r="C875" s="21" t="inlineStr">
        <is>
          <t>R02</t>
        </is>
      </c>
      <c r="D875" s="21" t="inlineStr">
        <is>
          <t>P200</t>
        </is>
      </c>
      <c r="E875" s="21" t="n">
        <v>1</v>
      </c>
      <c r="F875" s="23" t="n">
        <v>0</v>
      </c>
      <c r="G875" s="24">
        <f>TEXT(B875,"mmm")</f>
        <v/>
      </c>
      <c r="H875" s="24">
        <f>HLOOKUP(C875,Lookups!$H$4:$K$5,2,FALSE)</f>
        <v/>
      </c>
      <c r="I875" s="24">
        <f>VLOOKUP(D875,Lookups!$A$5:$E$10,2,FALSE)</f>
        <v/>
      </c>
      <c r="J875" s="24">
        <f>VLOOKUP(D875,Lookups!$A$5:$E$10,3,FALSE)</f>
        <v/>
      </c>
      <c r="K875" s="25">
        <f>VLOOKUP(D875,Lookups!$A$5:$E$10,4,FALSE)</f>
        <v/>
      </c>
      <c r="L875" s="25">
        <f>E875*K875*(1-F875)</f>
        <v/>
      </c>
      <c r="M875" s="25">
        <f>L875*VLOOKUP(D875,Lookups!$A$5:$E$10,5,FALSE)</f>
        <v/>
      </c>
    </row>
    <row r="876">
      <c r="A876" s="21" t="inlineStr">
        <is>
          <t>INV-10656</t>
        </is>
      </c>
      <c r="B876" s="22" t="n">
        <v>45928</v>
      </c>
      <c r="C876" s="21" t="inlineStr">
        <is>
          <t>R03</t>
        </is>
      </c>
      <c r="D876" s="21" t="inlineStr">
        <is>
          <t>P100</t>
        </is>
      </c>
      <c r="E876" s="21" t="n">
        <v>11</v>
      </c>
      <c r="F876" s="23" t="n">
        <v>0</v>
      </c>
      <c r="G876" s="24">
        <f>TEXT(B876,"mmm")</f>
        <v/>
      </c>
      <c r="H876" s="24">
        <f>HLOOKUP(C876,Lookups!$H$4:$K$5,2,FALSE)</f>
        <v/>
      </c>
      <c r="I876" s="24">
        <f>VLOOKUP(D876,Lookups!$A$5:$E$10,2,FALSE)</f>
        <v/>
      </c>
      <c r="J876" s="24">
        <f>VLOOKUP(D876,Lookups!$A$5:$E$10,3,FALSE)</f>
        <v/>
      </c>
      <c r="K876" s="25">
        <f>VLOOKUP(D876,Lookups!$A$5:$E$10,4,FALSE)</f>
        <v/>
      </c>
      <c r="L876" s="25">
        <f>E876*K876*(1-F876)</f>
        <v/>
      </c>
      <c r="M876" s="25">
        <f>L876*VLOOKUP(D876,Lookups!$A$5:$E$10,5,FALSE)</f>
        <v/>
      </c>
    </row>
    <row r="877">
      <c r="A877" s="21" t="inlineStr">
        <is>
          <t>INV-10234</t>
        </is>
      </c>
      <c r="B877" s="22" t="n">
        <v>45929</v>
      </c>
      <c r="C877" s="21" t="inlineStr">
        <is>
          <t>R03</t>
        </is>
      </c>
      <c r="D877" s="21" t="inlineStr">
        <is>
          <t>P500</t>
        </is>
      </c>
      <c r="E877" s="21" t="n">
        <v>6</v>
      </c>
      <c r="F877" s="23" t="n">
        <v>0.05</v>
      </c>
      <c r="G877" s="24">
        <f>TEXT(B877,"mmm")</f>
        <v/>
      </c>
      <c r="H877" s="24">
        <f>HLOOKUP(C877,Lookups!$H$4:$K$5,2,FALSE)</f>
        <v/>
      </c>
      <c r="I877" s="24">
        <f>VLOOKUP(D877,Lookups!$A$5:$E$10,2,FALSE)</f>
        <v/>
      </c>
      <c r="J877" s="24">
        <f>VLOOKUP(D877,Lookups!$A$5:$E$10,3,FALSE)</f>
        <v/>
      </c>
      <c r="K877" s="25">
        <f>VLOOKUP(D877,Lookups!$A$5:$E$10,4,FALSE)</f>
        <v/>
      </c>
      <c r="L877" s="25">
        <f>E877*K877*(1-F877)</f>
        <v/>
      </c>
      <c r="M877" s="25">
        <f>L877*VLOOKUP(D877,Lookups!$A$5:$E$10,5,FALSE)</f>
        <v/>
      </c>
    </row>
    <row r="878">
      <c r="A878" s="21" t="inlineStr">
        <is>
          <t>INV-10528</t>
        </is>
      </c>
      <c r="B878" s="22" t="n">
        <v>45929</v>
      </c>
      <c r="C878" s="21" t="inlineStr">
        <is>
          <t>R03</t>
        </is>
      </c>
      <c r="D878" s="21" t="inlineStr">
        <is>
          <t>P600</t>
        </is>
      </c>
      <c r="E878" s="21" t="n">
        <v>18</v>
      </c>
      <c r="F878" s="23" t="n">
        <v>0.05</v>
      </c>
      <c r="G878" s="24">
        <f>TEXT(B878,"mmm")</f>
        <v/>
      </c>
      <c r="H878" s="24">
        <f>HLOOKUP(C878,Lookups!$H$4:$K$5,2,FALSE)</f>
        <v/>
      </c>
      <c r="I878" s="24">
        <f>VLOOKUP(D878,Lookups!$A$5:$E$10,2,FALSE)</f>
        <v/>
      </c>
      <c r="J878" s="24">
        <f>VLOOKUP(D878,Lookups!$A$5:$E$10,3,FALSE)</f>
        <v/>
      </c>
      <c r="K878" s="25">
        <f>VLOOKUP(D878,Lookups!$A$5:$E$10,4,FALSE)</f>
        <v/>
      </c>
      <c r="L878" s="25">
        <f>E878*K878*(1-F878)</f>
        <v/>
      </c>
      <c r="M878" s="25">
        <f>L878*VLOOKUP(D878,Lookups!$A$5:$E$10,5,FALSE)</f>
        <v/>
      </c>
    </row>
    <row r="879">
      <c r="A879" s="21" t="inlineStr">
        <is>
          <t>INV-10821</t>
        </is>
      </c>
      <c r="B879" s="22" t="n">
        <v>45929</v>
      </c>
      <c r="C879" s="21" t="inlineStr">
        <is>
          <t>R04</t>
        </is>
      </c>
      <c r="D879" s="21" t="inlineStr">
        <is>
          <t>P300</t>
        </is>
      </c>
      <c r="E879" s="21" t="n">
        <v>2</v>
      </c>
      <c r="F879" s="23" t="n">
        <v>0</v>
      </c>
      <c r="G879" s="24">
        <f>TEXT(B879,"mmm")</f>
        <v/>
      </c>
      <c r="H879" s="24">
        <f>HLOOKUP(C879,Lookups!$H$4:$K$5,2,FALSE)</f>
        <v/>
      </c>
      <c r="I879" s="24">
        <f>VLOOKUP(D879,Lookups!$A$5:$E$10,2,FALSE)</f>
        <v/>
      </c>
      <c r="J879" s="24">
        <f>VLOOKUP(D879,Lookups!$A$5:$E$10,3,FALSE)</f>
        <v/>
      </c>
      <c r="K879" s="25">
        <f>VLOOKUP(D879,Lookups!$A$5:$E$10,4,FALSE)</f>
        <v/>
      </c>
      <c r="L879" s="25">
        <f>E879*K879*(1-F879)</f>
        <v/>
      </c>
      <c r="M879" s="25">
        <f>L879*VLOOKUP(D879,Lookups!$A$5:$E$10,5,FALSE)</f>
        <v/>
      </c>
    </row>
    <row r="880">
      <c r="A880" s="21" t="inlineStr">
        <is>
          <t>INV-10888</t>
        </is>
      </c>
      <c r="B880" s="22" t="n">
        <v>45929</v>
      </c>
      <c r="C880" s="21" t="inlineStr">
        <is>
          <t>R01</t>
        </is>
      </c>
      <c r="D880" s="21" t="inlineStr">
        <is>
          <t>P600</t>
        </is>
      </c>
      <c r="E880" s="21" t="n">
        <v>18</v>
      </c>
      <c r="F880" s="23" t="n">
        <v>0.1</v>
      </c>
      <c r="G880" s="24">
        <f>TEXT(B880,"mmm")</f>
        <v/>
      </c>
      <c r="H880" s="24">
        <f>HLOOKUP(C880,Lookups!$H$4:$K$5,2,FALSE)</f>
        <v/>
      </c>
      <c r="I880" s="24">
        <f>VLOOKUP(D880,Lookups!$A$5:$E$10,2,FALSE)</f>
        <v/>
      </c>
      <c r="J880" s="24">
        <f>VLOOKUP(D880,Lookups!$A$5:$E$10,3,FALSE)</f>
        <v/>
      </c>
      <c r="K880" s="25">
        <f>VLOOKUP(D880,Lookups!$A$5:$E$10,4,FALSE)</f>
        <v/>
      </c>
      <c r="L880" s="25">
        <f>E880*K880*(1-F880)</f>
        <v/>
      </c>
      <c r="M880" s="25">
        <f>L880*VLOOKUP(D880,Lookups!$A$5:$E$10,5,FALSE)</f>
        <v/>
      </c>
    </row>
    <row r="881">
      <c r="A881" s="21" t="inlineStr">
        <is>
          <t>INV-11184</t>
        </is>
      </c>
      <c r="B881" s="22" t="n">
        <v>45929</v>
      </c>
      <c r="C881" s="21" t="inlineStr">
        <is>
          <t>R03</t>
        </is>
      </c>
      <c r="D881" s="21" t="inlineStr">
        <is>
          <t>P300</t>
        </is>
      </c>
      <c r="E881" s="21" t="n">
        <v>16</v>
      </c>
      <c r="F881" s="23" t="n">
        <v>0.1</v>
      </c>
      <c r="G881" s="24">
        <f>TEXT(B881,"mmm")</f>
        <v/>
      </c>
      <c r="H881" s="24">
        <f>HLOOKUP(C881,Lookups!$H$4:$K$5,2,FALSE)</f>
        <v/>
      </c>
      <c r="I881" s="24">
        <f>VLOOKUP(D881,Lookups!$A$5:$E$10,2,FALSE)</f>
        <v/>
      </c>
      <c r="J881" s="24">
        <f>VLOOKUP(D881,Lookups!$A$5:$E$10,3,FALSE)</f>
        <v/>
      </c>
      <c r="K881" s="25">
        <f>VLOOKUP(D881,Lookups!$A$5:$E$10,4,FALSE)</f>
        <v/>
      </c>
      <c r="L881" s="25">
        <f>E881*K881*(1-F881)</f>
        <v/>
      </c>
      <c r="M881" s="25">
        <f>L881*VLOOKUP(D881,Lookups!$A$5:$E$10,5,FALSE)</f>
        <v/>
      </c>
    </row>
    <row r="882">
      <c r="A882" s="21" t="inlineStr">
        <is>
          <t>INV-10620</t>
        </is>
      </c>
      <c r="B882" s="22" t="n">
        <v>45930</v>
      </c>
      <c r="C882" s="21" t="inlineStr">
        <is>
          <t>R02</t>
        </is>
      </c>
      <c r="D882" s="21" t="inlineStr">
        <is>
          <t>P300</t>
        </is>
      </c>
      <c r="E882" s="21" t="n">
        <v>11</v>
      </c>
      <c r="F882" s="23" t="n">
        <v>0.05</v>
      </c>
      <c r="G882" s="24">
        <f>TEXT(B882,"mmm")</f>
        <v/>
      </c>
      <c r="H882" s="24">
        <f>HLOOKUP(C882,Lookups!$H$4:$K$5,2,FALSE)</f>
        <v/>
      </c>
      <c r="I882" s="24">
        <f>VLOOKUP(D882,Lookups!$A$5:$E$10,2,FALSE)</f>
        <v/>
      </c>
      <c r="J882" s="24">
        <f>VLOOKUP(D882,Lookups!$A$5:$E$10,3,FALSE)</f>
        <v/>
      </c>
      <c r="K882" s="25">
        <f>VLOOKUP(D882,Lookups!$A$5:$E$10,4,FALSE)</f>
        <v/>
      </c>
      <c r="L882" s="25">
        <f>E882*K882*(1-F882)</f>
        <v/>
      </c>
      <c r="M882" s="25">
        <f>L882*VLOOKUP(D882,Lookups!$A$5:$E$10,5,FALSE)</f>
        <v/>
      </c>
    </row>
    <row r="883">
      <c r="A883" s="21" t="inlineStr">
        <is>
          <t>INV-10576</t>
        </is>
      </c>
      <c r="B883" s="22" t="n">
        <v>45931</v>
      </c>
      <c r="C883" s="21" t="inlineStr">
        <is>
          <t>R04</t>
        </is>
      </c>
      <c r="D883" s="21" t="inlineStr">
        <is>
          <t>P500</t>
        </is>
      </c>
      <c r="E883" s="21" t="n">
        <v>18</v>
      </c>
      <c r="F883" s="23" t="n">
        <v>0</v>
      </c>
      <c r="G883" s="24">
        <f>TEXT(B883,"mmm")</f>
        <v/>
      </c>
      <c r="H883" s="24">
        <f>HLOOKUP(C883,Lookups!$H$4:$K$5,2,FALSE)</f>
        <v/>
      </c>
      <c r="I883" s="24">
        <f>VLOOKUP(D883,Lookups!$A$5:$E$10,2,FALSE)</f>
        <v/>
      </c>
      <c r="J883" s="24">
        <f>VLOOKUP(D883,Lookups!$A$5:$E$10,3,FALSE)</f>
        <v/>
      </c>
      <c r="K883" s="25">
        <f>VLOOKUP(D883,Lookups!$A$5:$E$10,4,FALSE)</f>
        <v/>
      </c>
      <c r="L883" s="25">
        <f>E883*K883*(1-F883)</f>
        <v/>
      </c>
      <c r="M883" s="25">
        <f>L883*VLOOKUP(D883,Lookups!$A$5:$E$10,5,FALSE)</f>
        <v/>
      </c>
    </row>
    <row r="884">
      <c r="A884" s="21" t="inlineStr">
        <is>
          <t>INV-10839</t>
        </is>
      </c>
      <c r="B884" s="22" t="n">
        <v>45931</v>
      </c>
      <c r="C884" s="21" t="inlineStr">
        <is>
          <t>R01</t>
        </is>
      </c>
      <c r="D884" s="21" t="inlineStr">
        <is>
          <t>P500</t>
        </is>
      </c>
      <c r="E884" s="21" t="n">
        <v>20</v>
      </c>
      <c r="F884" s="23" t="n">
        <v>0</v>
      </c>
      <c r="G884" s="24">
        <f>TEXT(B884,"mmm")</f>
        <v/>
      </c>
      <c r="H884" s="24">
        <f>HLOOKUP(C884,Lookups!$H$4:$K$5,2,FALSE)</f>
        <v/>
      </c>
      <c r="I884" s="24">
        <f>VLOOKUP(D884,Lookups!$A$5:$E$10,2,FALSE)</f>
        <v/>
      </c>
      <c r="J884" s="24">
        <f>VLOOKUP(D884,Lookups!$A$5:$E$10,3,FALSE)</f>
        <v/>
      </c>
      <c r="K884" s="25">
        <f>VLOOKUP(D884,Lookups!$A$5:$E$10,4,FALSE)</f>
        <v/>
      </c>
      <c r="L884" s="25">
        <f>E884*K884*(1-F884)</f>
        <v/>
      </c>
      <c r="M884" s="25">
        <f>L884*VLOOKUP(D884,Lookups!$A$5:$E$10,5,FALSE)</f>
        <v/>
      </c>
    </row>
    <row r="885">
      <c r="A885" s="21" t="inlineStr">
        <is>
          <t>INV-10934</t>
        </is>
      </c>
      <c r="B885" s="22" t="n">
        <v>45931</v>
      </c>
      <c r="C885" s="21" t="inlineStr">
        <is>
          <t>R01</t>
        </is>
      </c>
      <c r="D885" s="21" t="inlineStr">
        <is>
          <t>P100</t>
        </is>
      </c>
      <c r="E885" s="21" t="n">
        <v>25</v>
      </c>
      <c r="F885" s="23" t="n">
        <v>0</v>
      </c>
      <c r="G885" s="24">
        <f>TEXT(B885,"mmm")</f>
        <v/>
      </c>
      <c r="H885" s="24">
        <f>HLOOKUP(C885,Lookups!$H$4:$K$5,2,FALSE)</f>
        <v/>
      </c>
      <c r="I885" s="24">
        <f>VLOOKUP(D885,Lookups!$A$5:$E$10,2,FALSE)</f>
        <v/>
      </c>
      <c r="J885" s="24">
        <f>VLOOKUP(D885,Lookups!$A$5:$E$10,3,FALSE)</f>
        <v/>
      </c>
      <c r="K885" s="25">
        <f>VLOOKUP(D885,Lookups!$A$5:$E$10,4,FALSE)</f>
        <v/>
      </c>
      <c r="L885" s="25">
        <f>E885*K885*(1-F885)</f>
        <v/>
      </c>
      <c r="M885" s="25">
        <f>L885*VLOOKUP(D885,Lookups!$A$5:$E$10,5,FALSE)</f>
        <v/>
      </c>
    </row>
    <row r="886">
      <c r="A886" s="21" t="inlineStr">
        <is>
          <t>INV-10050</t>
        </is>
      </c>
      <c r="B886" s="22" t="n">
        <v>45932</v>
      </c>
      <c r="C886" s="21" t="inlineStr">
        <is>
          <t>R02</t>
        </is>
      </c>
      <c r="D886" s="21" t="inlineStr">
        <is>
          <t>P400</t>
        </is>
      </c>
      <c r="E886" s="21" t="n">
        <v>14</v>
      </c>
      <c r="F886" s="23" t="n">
        <v>0</v>
      </c>
      <c r="G886" s="24">
        <f>TEXT(B886,"mmm")</f>
        <v/>
      </c>
      <c r="H886" s="24">
        <f>HLOOKUP(C886,Lookups!$H$4:$K$5,2,FALSE)</f>
        <v/>
      </c>
      <c r="I886" s="24">
        <f>VLOOKUP(D886,Lookups!$A$5:$E$10,2,FALSE)</f>
        <v/>
      </c>
      <c r="J886" s="24">
        <f>VLOOKUP(D886,Lookups!$A$5:$E$10,3,FALSE)</f>
        <v/>
      </c>
      <c r="K886" s="25">
        <f>VLOOKUP(D886,Lookups!$A$5:$E$10,4,FALSE)</f>
        <v/>
      </c>
      <c r="L886" s="25">
        <f>E886*K886*(1-F886)</f>
        <v/>
      </c>
      <c r="M886" s="25">
        <f>L886*VLOOKUP(D886,Lookups!$A$5:$E$10,5,FALSE)</f>
        <v/>
      </c>
    </row>
    <row r="887">
      <c r="A887" s="21" t="inlineStr">
        <is>
          <t>INV-10507</t>
        </is>
      </c>
      <c r="B887" s="22" t="n">
        <v>45932</v>
      </c>
      <c r="C887" s="21" t="inlineStr">
        <is>
          <t>R02</t>
        </is>
      </c>
      <c r="D887" s="21" t="inlineStr">
        <is>
          <t>P600</t>
        </is>
      </c>
      <c r="E887" s="21" t="n">
        <v>2</v>
      </c>
      <c r="F887" s="23" t="n">
        <v>0.05</v>
      </c>
      <c r="G887" s="24">
        <f>TEXT(B887,"mmm")</f>
        <v/>
      </c>
      <c r="H887" s="24">
        <f>HLOOKUP(C887,Lookups!$H$4:$K$5,2,FALSE)</f>
        <v/>
      </c>
      <c r="I887" s="24">
        <f>VLOOKUP(D887,Lookups!$A$5:$E$10,2,FALSE)</f>
        <v/>
      </c>
      <c r="J887" s="24">
        <f>VLOOKUP(D887,Lookups!$A$5:$E$10,3,FALSE)</f>
        <v/>
      </c>
      <c r="K887" s="25">
        <f>VLOOKUP(D887,Lookups!$A$5:$E$10,4,FALSE)</f>
        <v/>
      </c>
      <c r="L887" s="25">
        <f>E887*K887*(1-F887)</f>
        <v/>
      </c>
      <c r="M887" s="25">
        <f>L887*VLOOKUP(D887,Lookups!$A$5:$E$10,5,FALSE)</f>
        <v/>
      </c>
    </row>
    <row r="888">
      <c r="A888" s="21" t="inlineStr">
        <is>
          <t>INV-10202</t>
        </is>
      </c>
      <c r="B888" s="22" t="n">
        <v>45933</v>
      </c>
      <c r="C888" s="21" t="inlineStr">
        <is>
          <t>R03</t>
        </is>
      </c>
      <c r="D888" s="21" t="inlineStr">
        <is>
          <t>P400</t>
        </is>
      </c>
      <c r="E888" s="21" t="n">
        <v>11</v>
      </c>
      <c r="F888" s="23" t="n">
        <v>0.1</v>
      </c>
      <c r="G888" s="24">
        <f>TEXT(B888,"mmm")</f>
        <v/>
      </c>
      <c r="H888" s="24">
        <f>HLOOKUP(C888,Lookups!$H$4:$K$5,2,FALSE)</f>
        <v/>
      </c>
      <c r="I888" s="24">
        <f>VLOOKUP(D888,Lookups!$A$5:$E$10,2,FALSE)</f>
        <v/>
      </c>
      <c r="J888" s="24">
        <f>VLOOKUP(D888,Lookups!$A$5:$E$10,3,FALSE)</f>
        <v/>
      </c>
      <c r="K888" s="25">
        <f>VLOOKUP(D888,Lookups!$A$5:$E$10,4,FALSE)</f>
        <v/>
      </c>
      <c r="L888" s="25">
        <f>E888*K888*(1-F888)</f>
        <v/>
      </c>
      <c r="M888" s="25">
        <f>L888*VLOOKUP(D888,Lookups!$A$5:$E$10,5,FALSE)</f>
        <v/>
      </c>
    </row>
    <row r="889">
      <c r="A889" s="21" t="inlineStr">
        <is>
          <t>INV-10472</t>
        </is>
      </c>
      <c r="B889" s="22" t="n">
        <v>45933</v>
      </c>
      <c r="C889" s="21" t="inlineStr">
        <is>
          <t>R02</t>
        </is>
      </c>
      <c r="D889" s="21" t="inlineStr">
        <is>
          <t>P600</t>
        </is>
      </c>
      <c r="E889" s="21" t="n">
        <v>25</v>
      </c>
      <c r="F889" s="23" t="n">
        <v>0</v>
      </c>
      <c r="G889" s="24">
        <f>TEXT(B889,"mmm")</f>
        <v/>
      </c>
      <c r="H889" s="24">
        <f>HLOOKUP(C889,Lookups!$H$4:$K$5,2,FALSE)</f>
        <v/>
      </c>
      <c r="I889" s="24">
        <f>VLOOKUP(D889,Lookups!$A$5:$E$10,2,FALSE)</f>
        <v/>
      </c>
      <c r="J889" s="24">
        <f>VLOOKUP(D889,Lookups!$A$5:$E$10,3,FALSE)</f>
        <v/>
      </c>
      <c r="K889" s="25">
        <f>VLOOKUP(D889,Lookups!$A$5:$E$10,4,FALSE)</f>
        <v/>
      </c>
      <c r="L889" s="25">
        <f>E889*K889*(1-F889)</f>
        <v/>
      </c>
      <c r="M889" s="25">
        <f>L889*VLOOKUP(D889,Lookups!$A$5:$E$10,5,FALSE)</f>
        <v/>
      </c>
    </row>
    <row r="890">
      <c r="A890" s="21" t="inlineStr">
        <is>
          <t>INV-10611</t>
        </is>
      </c>
      <c r="B890" s="22" t="n">
        <v>45933</v>
      </c>
      <c r="C890" s="21" t="inlineStr">
        <is>
          <t>R02</t>
        </is>
      </c>
      <c r="D890" s="21" t="inlineStr">
        <is>
          <t>P300</t>
        </is>
      </c>
      <c r="E890" s="21" t="n">
        <v>25</v>
      </c>
      <c r="F890" s="23" t="n">
        <v>0.1</v>
      </c>
      <c r="G890" s="24">
        <f>TEXT(B890,"mmm")</f>
        <v/>
      </c>
      <c r="H890" s="24">
        <f>HLOOKUP(C890,Lookups!$H$4:$K$5,2,FALSE)</f>
        <v/>
      </c>
      <c r="I890" s="24">
        <f>VLOOKUP(D890,Lookups!$A$5:$E$10,2,FALSE)</f>
        <v/>
      </c>
      <c r="J890" s="24">
        <f>VLOOKUP(D890,Lookups!$A$5:$E$10,3,FALSE)</f>
        <v/>
      </c>
      <c r="K890" s="25">
        <f>VLOOKUP(D890,Lookups!$A$5:$E$10,4,FALSE)</f>
        <v/>
      </c>
      <c r="L890" s="25">
        <f>E890*K890*(1-F890)</f>
        <v/>
      </c>
      <c r="M890" s="25">
        <f>L890*VLOOKUP(D890,Lookups!$A$5:$E$10,5,FALSE)</f>
        <v/>
      </c>
    </row>
    <row r="891">
      <c r="A891" s="21" t="inlineStr">
        <is>
          <t>INV-10926</t>
        </is>
      </c>
      <c r="B891" s="22" t="n">
        <v>45933</v>
      </c>
      <c r="C891" s="21" t="inlineStr">
        <is>
          <t>R01</t>
        </is>
      </c>
      <c r="D891" s="21" t="inlineStr">
        <is>
          <t>P500</t>
        </is>
      </c>
      <c r="E891" s="21" t="n">
        <v>21</v>
      </c>
      <c r="F891" s="23" t="n">
        <v>0</v>
      </c>
      <c r="G891" s="24">
        <f>TEXT(B891,"mmm")</f>
        <v/>
      </c>
      <c r="H891" s="24">
        <f>HLOOKUP(C891,Lookups!$H$4:$K$5,2,FALSE)</f>
        <v/>
      </c>
      <c r="I891" s="24">
        <f>VLOOKUP(D891,Lookups!$A$5:$E$10,2,FALSE)</f>
        <v/>
      </c>
      <c r="J891" s="24">
        <f>VLOOKUP(D891,Lookups!$A$5:$E$10,3,FALSE)</f>
        <v/>
      </c>
      <c r="K891" s="25">
        <f>VLOOKUP(D891,Lookups!$A$5:$E$10,4,FALSE)</f>
        <v/>
      </c>
      <c r="L891" s="25">
        <f>E891*K891*(1-F891)</f>
        <v/>
      </c>
      <c r="M891" s="25">
        <f>L891*VLOOKUP(D891,Lookups!$A$5:$E$10,5,FALSE)</f>
        <v/>
      </c>
    </row>
    <row r="892">
      <c r="A892" s="21" t="inlineStr">
        <is>
          <t>INV-10957</t>
        </is>
      </c>
      <c r="B892" s="22" t="n">
        <v>45933</v>
      </c>
      <c r="C892" s="21" t="inlineStr">
        <is>
          <t>R03</t>
        </is>
      </c>
      <c r="D892" s="21" t="inlineStr">
        <is>
          <t>P200</t>
        </is>
      </c>
      <c r="E892" s="21" t="n">
        <v>24</v>
      </c>
      <c r="F892" s="23" t="n">
        <v>0</v>
      </c>
      <c r="G892" s="24">
        <f>TEXT(B892,"mmm")</f>
        <v/>
      </c>
      <c r="H892" s="24">
        <f>HLOOKUP(C892,Lookups!$H$4:$K$5,2,FALSE)</f>
        <v/>
      </c>
      <c r="I892" s="24">
        <f>VLOOKUP(D892,Lookups!$A$5:$E$10,2,FALSE)</f>
        <v/>
      </c>
      <c r="J892" s="24">
        <f>VLOOKUP(D892,Lookups!$A$5:$E$10,3,FALSE)</f>
        <v/>
      </c>
      <c r="K892" s="25">
        <f>VLOOKUP(D892,Lookups!$A$5:$E$10,4,FALSE)</f>
        <v/>
      </c>
      <c r="L892" s="25">
        <f>E892*K892*(1-F892)</f>
        <v/>
      </c>
      <c r="M892" s="25">
        <f>L892*VLOOKUP(D892,Lookups!$A$5:$E$10,5,FALSE)</f>
        <v/>
      </c>
    </row>
    <row r="893">
      <c r="A893" s="21" t="inlineStr">
        <is>
          <t>INV-10115</t>
        </is>
      </c>
      <c r="B893" s="22" t="n">
        <v>45934</v>
      </c>
      <c r="C893" s="21" t="inlineStr">
        <is>
          <t>R02</t>
        </is>
      </c>
      <c r="D893" s="21" t="inlineStr">
        <is>
          <t>P100</t>
        </is>
      </c>
      <c r="E893" s="21" t="n">
        <v>5</v>
      </c>
      <c r="F893" s="23" t="n">
        <v>0</v>
      </c>
      <c r="G893" s="24">
        <f>TEXT(B893,"mmm")</f>
        <v/>
      </c>
      <c r="H893" s="24">
        <f>HLOOKUP(C893,Lookups!$H$4:$K$5,2,FALSE)</f>
        <v/>
      </c>
      <c r="I893" s="24">
        <f>VLOOKUP(D893,Lookups!$A$5:$E$10,2,FALSE)</f>
        <v/>
      </c>
      <c r="J893" s="24">
        <f>VLOOKUP(D893,Lookups!$A$5:$E$10,3,FALSE)</f>
        <v/>
      </c>
      <c r="K893" s="25">
        <f>VLOOKUP(D893,Lookups!$A$5:$E$10,4,FALSE)</f>
        <v/>
      </c>
      <c r="L893" s="25">
        <f>E893*K893*(1-F893)</f>
        <v/>
      </c>
      <c r="M893" s="25">
        <f>L893*VLOOKUP(D893,Lookups!$A$5:$E$10,5,FALSE)</f>
        <v/>
      </c>
    </row>
    <row r="894">
      <c r="A894" s="21" t="inlineStr">
        <is>
          <t>INV-10256</t>
        </is>
      </c>
      <c r="B894" s="22" t="n">
        <v>45934</v>
      </c>
      <c r="C894" s="21" t="inlineStr">
        <is>
          <t>R02</t>
        </is>
      </c>
      <c r="D894" s="21" t="inlineStr">
        <is>
          <t>P300</t>
        </is>
      </c>
      <c r="E894" s="21" t="n">
        <v>4</v>
      </c>
      <c r="F894" s="23" t="n">
        <v>0</v>
      </c>
      <c r="G894" s="24">
        <f>TEXT(B894,"mmm")</f>
        <v/>
      </c>
      <c r="H894" s="24">
        <f>HLOOKUP(C894,Lookups!$H$4:$K$5,2,FALSE)</f>
        <v/>
      </c>
      <c r="I894" s="24">
        <f>VLOOKUP(D894,Lookups!$A$5:$E$10,2,FALSE)</f>
        <v/>
      </c>
      <c r="J894" s="24">
        <f>VLOOKUP(D894,Lookups!$A$5:$E$10,3,FALSE)</f>
        <v/>
      </c>
      <c r="K894" s="25">
        <f>VLOOKUP(D894,Lookups!$A$5:$E$10,4,FALSE)</f>
        <v/>
      </c>
      <c r="L894" s="25">
        <f>E894*K894*(1-F894)</f>
        <v/>
      </c>
      <c r="M894" s="25">
        <f>L894*VLOOKUP(D894,Lookups!$A$5:$E$10,5,FALSE)</f>
        <v/>
      </c>
    </row>
    <row r="895">
      <c r="A895" s="21" t="inlineStr">
        <is>
          <t>INV-11074</t>
        </is>
      </c>
      <c r="B895" s="22" t="n">
        <v>45934</v>
      </c>
      <c r="C895" s="21" t="inlineStr">
        <is>
          <t>R04</t>
        </is>
      </c>
      <c r="D895" s="21" t="inlineStr">
        <is>
          <t>P300</t>
        </is>
      </c>
      <c r="E895" s="21" t="n">
        <v>5</v>
      </c>
      <c r="F895" s="23" t="n">
        <v>0</v>
      </c>
      <c r="G895" s="24">
        <f>TEXT(B895,"mmm")</f>
        <v/>
      </c>
      <c r="H895" s="24">
        <f>HLOOKUP(C895,Lookups!$H$4:$K$5,2,FALSE)</f>
        <v/>
      </c>
      <c r="I895" s="24">
        <f>VLOOKUP(D895,Lookups!$A$5:$E$10,2,FALSE)</f>
        <v/>
      </c>
      <c r="J895" s="24">
        <f>VLOOKUP(D895,Lookups!$A$5:$E$10,3,FALSE)</f>
        <v/>
      </c>
      <c r="K895" s="25">
        <f>VLOOKUP(D895,Lookups!$A$5:$E$10,4,FALSE)</f>
        <v/>
      </c>
      <c r="L895" s="25">
        <f>E895*K895*(1-F895)</f>
        <v/>
      </c>
      <c r="M895" s="25">
        <f>L895*VLOOKUP(D895,Lookups!$A$5:$E$10,5,FALSE)</f>
        <v/>
      </c>
    </row>
    <row r="896">
      <c r="A896" s="21" t="inlineStr">
        <is>
          <t>INV-11077</t>
        </is>
      </c>
      <c r="B896" s="22" t="n">
        <v>45934</v>
      </c>
      <c r="C896" s="21" t="inlineStr">
        <is>
          <t>R01</t>
        </is>
      </c>
      <c r="D896" s="21" t="inlineStr">
        <is>
          <t>P200</t>
        </is>
      </c>
      <c r="E896" s="21" t="n">
        <v>15</v>
      </c>
      <c r="F896" s="23" t="n">
        <v>0.05</v>
      </c>
      <c r="G896" s="24">
        <f>TEXT(B896,"mmm")</f>
        <v/>
      </c>
      <c r="H896" s="24">
        <f>HLOOKUP(C896,Lookups!$H$4:$K$5,2,FALSE)</f>
        <v/>
      </c>
      <c r="I896" s="24">
        <f>VLOOKUP(D896,Lookups!$A$5:$E$10,2,FALSE)</f>
        <v/>
      </c>
      <c r="J896" s="24">
        <f>VLOOKUP(D896,Lookups!$A$5:$E$10,3,FALSE)</f>
        <v/>
      </c>
      <c r="K896" s="25">
        <f>VLOOKUP(D896,Lookups!$A$5:$E$10,4,FALSE)</f>
        <v/>
      </c>
      <c r="L896" s="25">
        <f>E896*K896*(1-F896)</f>
        <v/>
      </c>
      <c r="M896" s="25">
        <f>L896*VLOOKUP(D896,Lookups!$A$5:$E$10,5,FALSE)</f>
        <v/>
      </c>
    </row>
    <row r="897">
      <c r="A897" s="21" t="inlineStr">
        <is>
          <t>INV-10212</t>
        </is>
      </c>
      <c r="B897" s="22" t="n">
        <v>45935</v>
      </c>
      <c r="C897" s="21" t="inlineStr">
        <is>
          <t>R01</t>
        </is>
      </c>
      <c r="D897" s="21" t="inlineStr">
        <is>
          <t>P100</t>
        </is>
      </c>
      <c r="E897" s="21" t="n">
        <v>8</v>
      </c>
      <c r="F897" s="23" t="n">
        <v>0.05</v>
      </c>
      <c r="G897" s="24">
        <f>TEXT(B897,"mmm")</f>
        <v/>
      </c>
      <c r="H897" s="24">
        <f>HLOOKUP(C897,Lookups!$H$4:$K$5,2,FALSE)</f>
        <v/>
      </c>
      <c r="I897" s="24">
        <f>VLOOKUP(D897,Lookups!$A$5:$E$10,2,FALSE)</f>
        <v/>
      </c>
      <c r="J897" s="24">
        <f>VLOOKUP(D897,Lookups!$A$5:$E$10,3,FALSE)</f>
        <v/>
      </c>
      <c r="K897" s="25">
        <f>VLOOKUP(D897,Lookups!$A$5:$E$10,4,FALSE)</f>
        <v/>
      </c>
      <c r="L897" s="25">
        <f>E897*K897*(1-F897)</f>
        <v/>
      </c>
      <c r="M897" s="25">
        <f>L897*VLOOKUP(D897,Lookups!$A$5:$E$10,5,FALSE)</f>
        <v/>
      </c>
    </row>
    <row r="898">
      <c r="A898" s="21" t="inlineStr">
        <is>
          <t>INV-10483</t>
        </is>
      </c>
      <c r="B898" s="22" t="n">
        <v>45935</v>
      </c>
      <c r="C898" s="21" t="inlineStr">
        <is>
          <t>R01</t>
        </is>
      </c>
      <c r="D898" s="21" t="inlineStr">
        <is>
          <t>P100</t>
        </is>
      </c>
      <c r="E898" s="21" t="n">
        <v>16</v>
      </c>
      <c r="F898" s="23" t="n">
        <v>0</v>
      </c>
      <c r="G898" s="24">
        <f>TEXT(B898,"mmm")</f>
        <v/>
      </c>
      <c r="H898" s="24">
        <f>HLOOKUP(C898,Lookups!$H$4:$K$5,2,FALSE)</f>
        <v/>
      </c>
      <c r="I898" s="24">
        <f>VLOOKUP(D898,Lookups!$A$5:$E$10,2,FALSE)</f>
        <v/>
      </c>
      <c r="J898" s="24">
        <f>VLOOKUP(D898,Lookups!$A$5:$E$10,3,FALSE)</f>
        <v/>
      </c>
      <c r="K898" s="25">
        <f>VLOOKUP(D898,Lookups!$A$5:$E$10,4,FALSE)</f>
        <v/>
      </c>
      <c r="L898" s="25">
        <f>E898*K898*(1-F898)</f>
        <v/>
      </c>
      <c r="M898" s="25">
        <f>L898*VLOOKUP(D898,Lookups!$A$5:$E$10,5,FALSE)</f>
        <v/>
      </c>
    </row>
    <row r="899">
      <c r="A899" s="21" t="inlineStr">
        <is>
          <t>INV-10614</t>
        </is>
      </c>
      <c r="B899" s="22" t="n">
        <v>45935</v>
      </c>
      <c r="C899" s="21" t="inlineStr">
        <is>
          <t>R04</t>
        </is>
      </c>
      <c r="D899" s="21" t="inlineStr">
        <is>
          <t>P100</t>
        </is>
      </c>
      <c r="E899" s="21" t="n">
        <v>18</v>
      </c>
      <c r="F899" s="23" t="n">
        <v>0</v>
      </c>
      <c r="G899" s="24">
        <f>TEXT(B899,"mmm")</f>
        <v/>
      </c>
      <c r="H899" s="24">
        <f>HLOOKUP(C899,Lookups!$H$4:$K$5,2,FALSE)</f>
        <v/>
      </c>
      <c r="I899" s="24">
        <f>VLOOKUP(D899,Lookups!$A$5:$E$10,2,FALSE)</f>
        <v/>
      </c>
      <c r="J899" s="24">
        <f>VLOOKUP(D899,Lookups!$A$5:$E$10,3,FALSE)</f>
        <v/>
      </c>
      <c r="K899" s="25">
        <f>VLOOKUP(D899,Lookups!$A$5:$E$10,4,FALSE)</f>
        <v/>
      </c>
      <c r="L899" s="25">
        <f>E899*K899*(1-F899)</f>
        <v/>
      </c>
      <c r="M899" s="25">
        <f>L899*VLOOKUP(D899,Lookups!$A$5:$E$10,5,FALSE)</f>
        <v/>
      </c>
    </row>
    <row r="900">
      <c r="A900" s="21" t="inlineStr">
        <is>
          <t>INV-10766</t>
        </is>
      </c>
      <c r="B900" s="22" t="n">
        <v>45935</v>
      </c>
      <c r="C900" s="21" t="inlineStr">
        <is>
          <t>R02</t>
        </is>
      </c>
      <c r="D900" s="21" t="inlineStr">
        <is>
          <t>P400</t>
        </is>
      </c>
      <c r="E900" s="21" t="n">
        <v>18</v>
      </c>
      <c r="F900" s="23" t="n">
        <v>0</v>
      </c>
      <c r="G900" s="24">
        <f>TEXT(B900,"mmm")</f>
        <v/>
      </c>
      <c r="H900" s="24">
        <f>HLOOKUP(C900,Lookups!$H$4:$K$5,2,FALSE)</f>
        <v/>
      </c>
      <c r="I900" s="24">
        <f>VLOOKUP(D900,Lookups!$A$5:$E$10,2,FALSE)</f>
        <v/>
      </c>
      <c r="J900" s="24">
        <f>VLOOKUP(D900,Lookups!$A$5:$E$10,3,FALSE)</f>
        <v/>
      </c>
      <c r="K900" s="25">
        <f>VLOOKUP(D900,Lookups!$A$5:$E$10,4,FALSE)</f>
        <v/>
      </c>
      <c r="L900" s="25">
        <f>E900*K900*(1-F900)</f>
        <v/>
      </c>
      <c r="M900" s="25">
        <f>L900*VLOOKUP(D900,Lookups!$A$5:$E$10,5,FALSE)</f>
        <v/>
      </c>
    </row>
    <row r="901">
      <c r="A901" s="21" t="inlineStr">
        <is>
          <t>INV-10175</t>
        </is>
      </c>
      <c r="B901" s="22" t="n">
        <v>45936</v>
      </c>
      <c r="C901" s="21" t="inlineStr">
        <is>
          <t>R02</t>
        </is>
      </c>
      <c r="D901" s="21" t="inlineStr">
        <is>
          <t>P200</t>
        </is>
      </c>
      <c r="E901" s="21" t="n">
        <v>9</v>
      </c>
      <c r="F901" s="23" t="n">
        <v>0</v>
      </c>
      <c r="G901" s="24">
        <f>TEXT(B901,"mmm")</f>
        <v/>
      </c>
      <c r="H901" s="24">
        <f>HLOOKUP(C901,Lookups!$H$4:$K$5,2,FALSE)</f>
        <v/>
      </c>
      <c r="I901" s="24">
        <f>VLOOKUP(D901,Lookups!$A$5:$E$10,2,FALSE)</f>
        <v/>
      </c>
      <c r="J901" s="24">
        <f>VLOOKUP(D901,Lookups!$A$5:$E$10,3,FALSE)</f>
        <v/>
      </c>
      <c r="K901" s="25">
        <f>VLOOKUP(D901,Lookups!$A$5:$E$10,4,FALSE)</f>
        <v/>
      </c>
      <c r="L901" s="25">
        <f>E901*K901*(1-F901)</f>
        <v/>
      </c>
      <c r="M901" s="25">
        <f>L901*VLOOKUP(D901,Lookups!$A$5:$E$10,5,FALSE)</f>
        <v/>
      </c>
    </row>
    <row r="902">
      <c r="A902" s="21" t="inlineStr">
        <is>
          <t>INV-10250</t>
        </is>
      </c>
      <c r="B902" s="22" t="n">
        <v>45936</v>
      </c>
      <c r="C902" s="21" t="inlineStr">
        <is>
          <t>R03</t>
        </is>
      </c>
      <c r="D902" s="21" t="inlineStr">
        <is>
          <t>P600</t>
        </is>
      </c>
      <c r="E902" s="21" t="n">
        <v>2</v>
      </c>
      <c r="F902" s="23" t="n">
        <v>0.1</v>
      </c>
      <c r="G902" s="24">
        <f>TEXT(B902,"mmm")</f>
        <v/>
      </c>
      <c r="H902" s="24">
        <f>HLOOKUP(C902,Lookups!$H$4:$K$5,2,FALSE)</f>
        <v/>
      </c>
      <c r="I902" s="24">
        <f>VLOOKUP(D902,Lookups!$A$5:$E$10,2,FALSE)</f>
        <v/>
      </c>
      <c r="J902" s="24">
        <f>VLOOKUP(D902,Lookups!$A$5:$E$10,3,FALSE)</f>
        <v/>
      </c>
      <c r="K902" s="25">
        <f>VLOOKUP(D902,Lookups!$A$5:$E$10,4,FALSE)</f>
        <v/>
      </c>
      <c r="L902" s="25">
        <f>E902*K902*(1-F902)</f>
        <v/>
      </c>
      <c r="M902" s="25">
        <f>L902*VLOOKUP(D902,Lookups!$A$5:$E$10,5,FALSE)</f>
        <v/>
      </c>
    </row>
    <row r="903">
      <c r="A903" s="21" t="inlineStr">
        <is>
          <t>INV-10363</t>
        </is>
      </c>
      <c r="B903" s="22" t="n">
        <v>45936</v>
      </c>
      <c r="C903" s="21" t="inlineStr">
        <is>
          <t>R03</t>
        </is>
      </c>
      <c r="D903" s="21" t="inlineStr">
        <is>
          <t>P400</t>
        </is>
      </c>
      <c r="E903" s="21" t="n">
        <v>2</v>
      </c>
      <c r="F903" s="23" t="n">
        <v>0</v>
      </c>
      <c r="G903" s="24">
        <f>TEXT(B903,"mmm")</f>
        <v/>
      </c>
      <c r="H903" s="24">
        <f>HLOOKUP(C903,Lookups!$H$4:$K$5,2,FALSE)</f>
        <v/>
      </c>
      <c r="I903" s="24">
        <f>VLOOKUP(D903,Lookups!$A$5:$E$10,2,FALSE)</f>
        <v/>
      </c>
      <c r="J903" s="24">
        <f>VLOOKUP(D903,Lookups!$A$5:$E$10,3,FALSE)</f>
        <v/>
      </c>
      <c r="K903" s="25">
        <f>VLOOKUP(D903,Lookups!$A$5:$E$10,4,FALSE)</f>
        <v/>
      </c>
      <c r="L903" s="25">
        <f>E903*K903*(1-F903)</f>
        <v/>
      </c>
      <c r="M903" s="25">
        <f>L903*VLOOKUP(D903,Lookups!$A$5:$E$10,5,FALSE)</f>
        <v/>
      </c>
    </row>
    <row r="904">
      <c r="A904" s="21" t="inlineStr">
        <is>
          <t>INV-10960</t>
        </is>
      </c>
      <c r="B904" s="22" t="n">
        <v>45936</v>
      </c>
      <c r="C904" s="21" t="inlineStr">
        <is>
          <t>R04</t>
        </is>
      </c>
      <c r="D904" s="21" t="inlineStr">
        <is>
          <t>P500</t>
        </is>
      </c>
      <c r="E904" s="21" t="n">
        <v>21</v>
      </c>
      <c r="F904" s="23" t="n">
        <v>0</v>
      </c>
      <c r="G904" s="24">
        <f>TEXT(B904,"mmm")</f>
        <v/>
      </c>
      <c r="H904" s="24">
        <f>HLOOKUP(C904,Lookups!$H$4:$K$5,2,FALSE)</f>
        <v/>
      </c>
      <c r="I904" s="24">
        <f>VLOOKUP(D904,Lookups!$A$5:$E$10,2,FALSE)</f>
        <v/>
      </c>
      <c r="J904" s="24">
        <f>VLOOKUP(D904,Lookups!$A$5:$E$10,3,FALSE)</f>
        <v/>
      </c>
      <c r="K904" s="25">
        <f>VLOOKUP(D904,Lookups!$A$5:$E$10,4,FALSE)</f>
        <v/>
      </c>
      <c r="L904" s="25">
        <f>E904*K904*(1-F904)</f>
        <v/>
      </c>
      <c r="M904" s="25">
        <f>L904*VLOOKUP(D904,Lookups!$A$5:$E$10,5,FALSE)</f>
        <v/>
      </c>
    </row>
    <row r="905">
      <c r="A905" s="21" t="inlineStr">
        <is>
          <t>INV-11115</t>
        </is>
      </c>
      <c r="B905" s="22" t="n">
        <v>45936</v>
      </c>
      <c r="C905" s="21" t="inlineStr">
        <is>
          <t>R03</t>
        </is>
      </c>
      <c r="D905" s="21" t="inlineStr">
        <is>
          <t>P300</t>
        </is>
      </c>
      <c r="E905" s="21" t="n">
        <v>24</v>
      </c>
      <c r="F905" s="23" t="n">
        <v>0.1</v>
      </c>
      <c r="G905" s="24">
        <f>TEXT(B905,"mmm")</f>
        <v/>
      </c>
      <c r="H905" s="24">
        <f>HLOOKUP(C905,Lookups!$H$4:$K$5,2,FALSE)</f>
        <v/>
      </c>
      <c r="I905" s="24">
        <f>VLOOKUP(D905,Lookups!$A$5:$E$10,2,FALSE)</f>
        <v/>
      </c>
      <c r="J905" s="24">
        <f>VLOOKUP(D905,Lookups!$A$5:$E$10,3,FALSE)</f>
        <v/>
      </c>
      <c r="K905" s="25">
        <f>VLOOKUP(D905,Lookups!$A$5:$E$10,4,FALSE)</f>
        <v/>
      </c>
      <c r="L905" s="25">
        <f>E905*K905*(1-F905)</f>
        <v/>
      </c>
      <c r="M905" s="25">
        <f>L905*VLOOKUP(D905,Lookups!$A$5:$E$10,5,FALSE)</f>
        <v/>
      </c>
    </row>
    <row r="906">
      <c r="A906" s="21" t="inlineStr">
        <is>
          <t>INV-10439</t>
        </is>
      </c>
      <c r="B906" s="22" t="n">
        <v>45937</v>
      </c>
      <c r="C906" s="21" t="inlineStr">
        <is>
          <t>R03</t>
        </is>
      </c>
      <c r="D906" s="21" t="inlineStr">
        <is>
          <t>P300</t>
        </is>
      </c>
      <c r="E906" s="21" t="n">
        <v>20</v>
      </c>
      <c r="F906" s="23" t="n">
        <v>0.1</v>
      </c>
      <c r="G906" s="24">
        <f>TEXT(B906,"mmm")</f>
        <v/>
      </c>
      <c r="H906" s="24">
        <f>HLOOKUP(C906,Lookups!$H$4:$K$5,2,FALSE)</f>
        <v/>
      </c>
      <c r="I906" s="24">
        <f>VLOOKUP(D906,Lookups!$A$5:$E$10,2,FALSE)</f>
        <v/>
      </c>
      <c r="J906" s="24">
        <f>VLOOKUP(D906,Lookups!$A$5:$E$10,3,FALSE)</f>
        <v/>
      </c>
      <c r="K906" s="25">
        <f>VLOOKUP(D906,Lookups!$A$5:$E$10,4,FALSE)</f>
        <v/>
      </c>
      <c r="L906" s="25">
        <f>E906*K906*(1-F906)</f>
        <v/>
      </c>
      <c r="M906" s="25">
        <f>L906*VLOOKUP(D906,Lookups!$A$5:$E$10,5,FALSE)</f>
        <v/>
      </c>
    </row>
    <row r="907">
      <c r="A907" s="21" t="inlineStr">
        <is>
          <t>INV-10685</t>
        </is>
      </c>
      <c r="B907" s="22" t="n">
        <v>45937</v>
      </c>
      <c r="C907" s="21" t="inlineStr">
        <is>
          <t>R02</t>
        </is>
      </c>
      <c r="D907" s="21" t="inlineStr">
        <is>
          <t>P200</t>
        </is>
      </c>
      <c r="E907" s="21" t="n">
        <v>1</v>
      </c>
      <c r="F907" s="23" t="n">
        <v>0.1</v>
      </c>
      <c r="G907" s="24">
        <f>TEXT(B907,"mmm")</f>
        <v/>
      </c>
      <c r="H907" s="24">
        <f>HLOOKUP(C907,Lookups!$H$4:$K$5,2,FALSE)</f>
        <v/>
      </c>
      <c r="I907" s="24">
        <f>VLOOKUP(D907,Lookups!$A$5:$E$10,2,FALSE)</f>
        <v/>
      </c>
      <c r="J907" s="24">
        <f>VLOOKUP(D907,Lookups!$A$5:$E$10,3,FALSE)</f>
        <v/>
      </c>
      <c r="K907" s="25">
        <f>VLOOKUP(D907,Lookups!$A$5:$E$10,4,FALSE)</f>
        <v/>
      </c>
      <c r="L907" s="25">
        <f>E907*K907*(1-F907)</f>
        <v/>
      </c>
      <c r="M907" s="25">
        <f>L907*VLOOKUP(D907,Lookups!$A$5:$E$10,5,FALSE)</f>
        <v/>
      </c>
    </row>
    <row r="908">
      <c r="A908" s="21" t="inlineStr">
        <is>
          <t>INV-10747</t>
        </is>
      </c>
      <c r="B908" s="22" t="n">
        <v>45937</v>
      </c>
      <c r="C908" s="21" t="inlineStr">
        <is>
          <t>R01</t>
        </is>
      </c>
      <c r="D908" s="21" t="inlineStr">
        <is>
          <t>P400</t>
        </is>
      </c>
      <c r="E908" s="21" t="n">
        <v>16</v>
      </c>
      <c r="F908" s="23" t="n">
        <v>0</v>
      </c>
      <c r="G908" s="24">
        <f>TEXT(B908,"mmm")</f>
        <v/>
      </c>
      <c r="H908" s="24">
        <f>HLOOKUP(C908,Lookups!$H$4:$K$5,2,FALSE)</f>
        <v/>
      </c>
      <c r="I908" s="24">
        <f>VLOOKUP(D908,Lookups!$A$5:$E$10,2,FALSE)</f>
        <v/>
      </c>
      <c r="J908" s="24">
        <f>VLOOKUP(D908,Lookups!$A$5:$E$10,3,FALSE)</f>
        <v/>
      </c>
      <c r="K908" s="25">
        <f>VLOOKUP(D908,Lookups!$A$5:$E$10,4,FALSE)</f>
        <v/>
      </c>
      <c r="L908" s="25">
        <f>E908*K908*(1-F908)</f>
        <v/>
      </c>
      <c r="M908" s="25">
        <f>L908*VLOOKUP(D908,Lookups!$A$5:$E$10,5,FALSE)</f>
        <v/>
      </c>
    </row>
    <row r="909">
      <c r="A909" s="21" t="inlineStr">
        <is>
          <t>INV-10939</t>
        </is>
      </c>
      <c r="B909" s="22" t="n">
        <v>45937</v>
      </c>
      <c r="C909" s="21" t="inlineStr">
        <is>
          <t>R02</t>
        </is>
      </c>
      <c r="D909" s="21" t="inlineStr">
        <is>
          <t>P300</t>
        </is>
      </c>
      <c r="E909" s="21" t="n">
        <v>10</v>
      </c>
      <c r="F909" s="23" t="n">
        <v>0.05</v>
      </c>
      <c r="G909" s="24">
        <f>TEXT(B909,"mmm")</f>
        <v/>
      </c>
      <c r="H909" s="24">
        <f>HLOOKUP(C909,Lookups!$H$4:$K$5,2,FALSE)</f>
        <v/>
      </c>
      <c r="I909" s="24">
        <f>VLOOKUP(D909,Lookups!$A$5:$E$10,2,FALSE)</f>
        <v/>
      </c>
      <c r="J909" s="24">
        <f>VLOOKUP(D909,Lookups!$A$5:$E$10,3,FALSE)</f>
        <v/>
      </c>
      <c r="K909" s="25">
        <f>VLOOKUP(D909,Lookups!$A$5:$E$10,4,FALSE)</f>
        <v/>
      </c>
      <c r="L909" s="25">
        <f>E909*K909*(1-F909)</f>
        <v/>
      </c>
      <c r="M909" s="25">
        <f>L909*VLOOKUP(D909,Lookups!$A$5:$E$10,5,FALSE)</f>
        <v/>
      </c>
    </row>
    <row r="910">
      <c r="A910" s="21" t="inlineStr">
        <is>
          <t>INV-10348</t>
        </is>
      </c>
      <c r="B910" s="22" t="n">
        <v>45938</v>
      </c>
      <c r="C910" s="21" t="inlineStr">
        <is>
          <t>R04</t>
        </is>
      </c>
      <c r="D910" s="21" t="inlineStr">
        <is>
          <t>P600</t>
        </is>
      </c>
      <c r="E910" s="21" t="n">
        <v>4</v>
      </c>
      <c r="F910" s="23" t="n">
        <v>0.05</v>
      </c>
      <c r="G910" s="24">
        <f>TEXT(B910,"mmm")</f>
        <v/>
      </c>
      <c r="H910" s="24">
        <f>HLOOKUP(C910,Lookups!$H$4:$K$5,2,FALSE)</f>
        <v/>
      </c>
      <c r="I910" s="24">
        <f>VLOOKUP(D910,Lookups!$A$5:$E$10,2,FALSE)</f>
        <v/>
      </c>
      <c r="J910" s="24">
        <f>VLOOKUP(D910,Lookups!$A$5:$E$10,3,FALSE)</f>
        <v/>
      </c>
      <c r="K910" s="25">
        <f>VLOOKUP(D910,Lookups!$A$5:$E$10,4,FALSE)</f>
        <v/>
      </c>
      <c r="L910" s="25">
        <f>E910*K910*(1-F910)</f>
        <v/>
      </c>
      <c r="M910" s="25">
        <f>L910*VLOOKUP(D910,Lookups!$A$5:$E$10,5,FALSE)</f>
        <v/>
      </c>
    </row>
    <row r="911">
      <c r="A911" s="21" t="inlineStr">
        <is>
          <t>INV-10751</t>
        </is>
      </c>
      <c r="B911" s="22" t="n">
        <v>45938</v>
      </c>
      <c r="C911" s="21" t="inlineStr">
        <is>
          <t>R03</t>
        </is>
      </c>
      <c r="D911" s="21" t="inlineStr">
        <is>
          <t>P100</t>
        </is>
      </c>
      <c r="E911" s="21" t="n">
        <v>20</v>
      </c>
      <c r="F911" s="23" t="n">
        <v>0.1</v>
      </c>
      <c r="G911" s="24">
        <f>TEXT(B911,"mmm")</f>
        <v/>
      </c>
      <c r="H911" s="24">
        <f>HLOOKUP(C911,Lookups!$H$4:$K$5,2,FALSE)</f>
        <v/>
      </c>
      <c r="I911" s="24">
        <f>VLOOKUP(D911,Lookups!$A$5:$E$10,2,FALSE)</f>
        <v/>
      </c>
      <c r="J911" s="24">
        <f>VLOOKUP(D911,Lookups!$A$5:$E$10,3,FALSE)</f>
        <v/>
      </c>
      <c r="K911" s="25">
        <f>VLOOKUP(D911,Lookups!$A$5:$E$10,4,FALSE)</f>
        <v/>
      </c>
      <c r="L911" s="25">
        <f>E911*K911*(1-F911)</f>
        <v/>
      </c>
      <c r="M911" s="25">
        <f>L911*VLOOKUP(D911,Lookups!$A$5:$E$10,5,FALSE)</f>
        <v/>
      </c>
    </row>
    <row r="912">
      <c r="A912" s="21" t="inlineStr">
        <is>
          <t>INV-10882</t>
        </is>
      </c>
      <c r="B912" s="22" t="n">
        <v>45938</v>
      </c>
      <c r="C912" s="21" t="inlineStr">
        <is>
          <t>R03</t>
        </is>
      </c>
      <c r="D912" s="21" t="inlineStr">
        <is>
          <t>P500</t>
        </is>
      </c>
      <c r="E912" s="21" t="n">
        <v>23</v>
      </c>
      <c r="F912" s="23" t="n">
        <v>0</v>
      </c>
      <c r="G912" s="24">
        <f>TEXT(B912,"mmm")</f>
        <v/>
      </c>
      <c r="H912" s="24">
        <f>HLOOKUP(C912,Lookups!$H$4:$K$5,2,FALSE)</f>
        <v/>
      </c>
      <c r="I912" s="24">
        <f>VLOOKUP(D912,Lookups!$A$5:$E$10,2,FALSE)</f>
        <v/>
      </c>
      <c r="J912" s="24">
        <f>VLOOKUP(D912,Lookups!$A$5:$E$10,3,FALSE)</f>
        <v/>
      </c>
      <c r="K912" s="25">
        <f>VLOOKUP(D912,Lookups!$A$5:$E$10,4,FALSE)</f>
        <v/>
      </c>
      <c r="L912" s="25">
        <f>E912*K912*(1-F912)</f>
        <v/>
      </c>
      <c r="M912" s="25">
        <f>L912*VLOOKUP(D912,Lookups!$A$5:$E$10,5,FALSE)</f>
        <v/>
      </c>
    </row>
    <row r="913">
      <c r="A913" s="21" t="inlineStr">
        <is>
          <t>INV-11160</t>
        </is>
      </c>
      <c r="B913" s="22" t="n">
        <v>45938</v>
      </c>
      <c r="C913" s="21" t="inlineStr">
        <is>
          <t>R03</t>
        </is>
      </c>
      <c r="D913" s="21" t="inlineStr">
        <is>
          <t>P400</t>
        </is>
      </c>
      <c r="E913" s="21" t="n">
        <v>3</v>
      </c>
      <c r="F913" s="23" t="n">
        <v>0.1</v>
      </c>
      <c r="G913" s="24">
        <f>TEXT(B913,"mmm")</f>
        <v/>
      </c>
      <c r="H913" s="24">
        <f>HLOOKUP(C913,Lookups!$H$4:$K$5,2,FALSE)</f>
        <v/>
      </c>
      <c r="I913" s="24">
        <f>VLOOKUP(D913,Lookups!$A$5:$E$10,2,FALSE)</f>
        <v/>
      </c>
      <c r="J913" s="24">
        <f>VLOOKUP(D913,Lookups!$A$5:$E$10,3,FALSE)</f>
        <v/>
      </c>
      <c r="K913" s="25">
        <f>VLOOKUP(D913,Lookups!$A$5:$E$10,4,FALSE)</f>
        <v/>
      </c>
      <c r="L913" s="25">
        <f>E913*K913*(1-F913)</f>
        <v/>
      </c>
      <c r="M913" s="25">
        <f>L913*VLOOKUP(D913,Lookups!$A$5:$E$10,5,FALSE)</f>
        <v/>
      </c>
    </row>
    <row r="914">
      <c r="A914" s="21" t="inlineStr">
        <is>
          <t>INV-10037</t>
        </is>
      </c>
      <c r="B914" s="22" t="n">
        <v>45939</v>
      </c>
      <c r="C914" s="21" t="inlineStr">
        <is>
          <t>R03</t>
        </is>
      </c>
      <c r="D914" s="21" t="inlineStr">
        <is>
          <t>P200</t>
        </is>
      </c>
      <c r="E914" s="21" t="n">
        <v>17</v>
      </c>
      <c r="F914" s="23" t="n">
        <v>0.1</v>
      </c>
      <c r="G914" s="24">
        <f>TEXT(B914,"mmm")</f>
        <v/>
      </c>
      <c r="H914" s="24">
        <f>HLOOKUP(C914,Lookups!$H$4:$K$5,2,FALSE)</f>
        <v/>
      </c>
      <c r="I914" s="24">
        <f>VLOOKUP(D914,Lookups!$A$5:$E$10,2,FALSE)</f>
        <v/>
      </c>
      <c r="J914" s="24">
        <f>VLOOKUP(D914,Lookups!$A$5:$E$10,3,FALSE)</f>
        <v/>
      </c>
      <c r="K914" s="25">
        <f>VLOOKUP(D914,Lookups!$A$5:$E$10,4,FALSE)</f>
        <v/>
      </c>
      <c r="L914" s="25">
        <f>E914*K914*(1-F914)</f>
        <v/>
      </c>
      <c r="M914" s="25">
        <f>L914*VLOOKUP(D914,Lookups!$A$5:$E$10,5,FALSE)</f>
        <v/>
      </c>
    </row>
    <row r="915">
      <c r="A915" s="21" t="inlineStr">
        <is>
          <t>INV-10052</t>
        </is>
      </c>
      <c r="B915" s="22" t="n">
        <v>45939</v>
      </c>
      <c r="C915" s="21" t="inlineStr">
        <is>
          <t>R01</t>
        </is>
      </c>
      <c r="D915" s="21" t="inlineStr">
        <is>
          <t>P100</t>
        </is>
      </c>
      <c r="E915" s="21" t="n">
        <v>21</v>
      </c>
      <c r="F915" s="23" t="n">
        <v>0</v>
      </c>
      <c r="G915" s="24">
        <f>TEXT(B915,"mmm")</f>
        <v/>
      </c>
      <c r="H915" s="24">
        <f>HLOOKUP(C915,Lookups!$H$4:$K$5,2,FALSE)</f>
        <v/>
      </c>
      <c r="I915" s="24">
        <f>VLOOKUP(D915,Lookups!$A$5:$E$10,2,FALSE)</f>
        <v/>
      </c>
      <c r="J915" s="24">
        <f>VLOOKUP(D915,Lookups!$A$5:$E$10,3,FALSE)</f>
        <v/>
      </c>
      <c r="K915" s="25">
        <f>VLOOKUP(D915,Lookups!$A$5:$E$10,4,FALSE)</f>
        <v/>
      </c>
      <c r="L915" s="25">
        <f>E915*K915*(1-F915)</f>
        <v/>
      </c>
      <c r="M915" s="25">
        <f>L915*VLOOKUP(D915,Lookups!$A$5:$E$10,5,FALSE)</f>
        <v/>
      </c>
    </row>
    <row r="916">
      <c r="A916" s="21" t="inlineStr">
        <is>
          <t>INV-10187</t>
        </is>
      </c>
      <c r="B916" s="22" t="n">
        <v>45939</v>
      </c>
      <c r="C916" s="21" t="inlineStr">
        <is>
          <t>R04</t>
        </is>
      </c>
      <c r="D916" s="21" t="inlineStr">
        <is>
          <t>P100</t>
        </is>
      </c>
      <c r="E916" s="21" t="n">
        <v>3</v>
      </c>
      <c r="F916" s="23" t="n">
        <v>0.05</v>
      </c>
      <c r="G916" s="24">
        <f>TEXT(B916,"mmm")</f>
        <v/>
      </c>
      <c r="H916" s="24">
        <f>HLOOKUP(C916,Lookups!$H$4:$K$5,2,FALSE)</f>
        <v/>
      </c>
      <c r="I916" s="24">
        <f>VLOOKUP(D916,Lookups!$A$5:$E$10,2,FALSE)</f>
        <v/>
      </c>
      <c r="J916" s="24">
        <f>VLOOKUP(D916,Lookups!$A$5:$E$10,3,FALSE)</f>
        <v/>
      </c>
      <c r="K916" s="25">
        <f>VLOOKUP(D916,Lookups!$A$5:$E$10,4,FALSE)</f>
        <v/>
      </c>
      <c r="L916" s="25">
        <f>E916*K916*(1-F916)</f>
        <v/>
      </c>
      <c r="M916" s="25">
        <f>L916*VLOOKUP(D916,Lookups!$A$5:$E$10,5,FALSE)</f>
        <v/>
      </c>
    </row>
    <row r="917">
      <c r="A917" s="21" t="inlineStr">
        <is>
          <t>INV-10192</t>
        </is>
      </c>
      <c r="B917" s="22" t="n">
        <v>45939</v>
      </c>
      <c r="C917" s="21" t="inlineStr">
        <is>
          <t>R03</t>
        </is>
      </c>
      <c r="D917" s="21" t="inlineStr">
        <is>
          <t>P200</t>
        </is>
      </c>
      <c r="E917" s="21" t="n">
        <v>15</v>
      </c>
      <c r="F917" s="23" t="n">
        <v>0.1</v>
      </c>
      <c r="G917" s="24">
        <f>TEXT(B917,"mmm")</f>
        <v/>
      </c>
      <c r="H917" s="24">
        <f>HLOOKUP(C917,Lookups!$H$4:$K$5,2,FALSE)</f>
        <v/>
      </c>
      <c r="I917" s="24">
        <f>VLOOKUP(D917,Lookups!$A$5:$E$10,2,FALSE)</f>
        <v/>
      </c>
      <c r="J917" s="24">
        <f>VLOOKUP(D917,Lookups!$A$5:$E$10,3,FALSE)</f>
        <v/>
      </c>
      <c r="K917" s="25">
        <f>VLOOKUP(D917,Lookups!$A$5:$E$10,4,FALSE)</f>
        <v/>
      </c>
      <c r="L917" s="25">
        <f>E917*K917*(1-F917)</f>
        <v/>
      </c>
      <c r="M917" s="25">
        <f>L917*VLOOKUP(D917,Lookups!$A$5:$E$10,5,FALSE)</f>
        <v/>
      </c>
    </row>
    <row r="918">
      <c r="A918" s="21" t="inlineStr">
        <is>
          <t>INV-11102</t>
        </is>
      </c>
      <c r="B918" s="22" t="n">
        <v>45939</v>
      </c>
      <c r="C918" s="21" t="inlineStr">
        <is>
          <t>R01</t>
        </is>
      </c>
      <c r="D918" s="21" t="inlineStr">
        <is>
          <t>P500</t>
        </is>
      </c>
      <c r="E918" s="21" t="n">
        <v>9</v>
      </c>
      <c r="F918" s="23" t="n">
        <v>0.1</v>
      </c>
      <c r="G918" s="24">
        <f>TEXT(B918,"mmm")</f>
        <v/>
      </c>
      <c r="H918" s="24">
        <f>HLOOKUP(C918,Lookups!$H$4:$K$5,2,FALSE)</f>
        <v/>
      </c>
      <c r="I918" s="24">
        <f>VLOOKUP(D918,Lookups!$A$5:$E$10,2,FALSE)</f>
        <v/>
      </c>
      <c r="J918" s="24">
        <f>VLOOKUP(D918,Lookups!$A$5:$E$10,3,FALSE)</f>
        <v/>
      </c>
      <c r="K918" s="25">
        <f>VLOOKUP(D918,Lookups!$A$5:$E$10,4,FALSE)</f>
        <v/>
      </c>
      <c r="L918" s="25">
        <f>E918*K918*(1-F918)</f>
        <v/>
      </c>
      <c r="M918" s="25">
        <f>L918*VLOOKUP(D918,Lookups!$A$5:$E$10,5,FALSE)</f>
        <v/>
      </c>
    </row>
    <row r="919">
      <c r="A919" s="21" t="inlineStr">
        <is>
          <t>INV-11139</t>
        </is>
      </c>
      <c r="B919" s="22" t="n">
        <v>45939</v>
      </c>
      <c r="C919" s="21" t="inlineStr">
        <is>
          <t>R03</t>
        </is>
      </c>
      <c r="D919" s="21" t="inlineStr">
        <is>
          <t>P300</t>
        </is>
      </c>
      <c r="E919" s="21" t="n">
        <v>14</v>
      </c>
      <c r="F919" s="23" t="n">
        <v>0.1</v>
      </c>
      <c r="G919" s="24">
        <f>TEXT(B919,"mmm")</f>
        <v/>
      </c>
      <c r="H919" s="24">
        <f>HLOOKUP(C919,Lookups!$H$4:$K$5,2,FALSE)</f>
        <v/>
      </c>
      <c r="I919" s="24">
        <f>VLOOKUP(D919,Lookups!$A$5:$E$10,2,FALSE)</f>
        <v/>
      </c>
      <c r="J919" s="24">
        <f>VLOOKUP(D919,Lookups!$A$5:$E$10,3,FALSE)</f>
        <v/>
      </c>
      <c r="K919" s="25">
        <f>VLOOKUP(D919,Lookups!$A$5:$E$10,4,FALSE)</f>
        <v/>
      </c>
      <c r="L919" s="25">
        <f>E919*K919*(1-F919)</f>
        <v/>
      </c>
      <c r="M919" s="25">
        <f>L919*VLOOKUP(D919,Lookups!$A$5:$E$10,5,FALSE)</f>
        <v/>
      </c>
    </row>
    <row r="920">
      <c r="A920" s="21" t="inlineStr">
        <is>
          <t>INV-10076</t>
        </is>
      </c>
      <c r="B920" s="22" t="n">
        <v>45940</v>
      </c>
      <c r="C920" s="21" t="inlineStr">
        <is>
          <t>R04</t>
        </is>
      </c>
      <c r="D920" s="21" t="inlineStr">
        <is>
          <t>P600</t>
        </is>
      </c>
      <c r="E920" s="21" t="n">
        <v>18</v>
      </c>
      <c r="F920" s="23" t="n">
        <v>0</v>
      </c>
      <c r="G920" s="24">
        <f>TEXT(B920,"mmm")</f>
        <v/>
      </c>
      <c r="H920" s="24">
        <f>HLOOKUP(C920,Lookups!$H$4:$K$5,2,FALSE)</f>
        <v/>
      </c>
      <c r="I920" s="24">
        <f>VLOOKUP(D920,Lookups!$A$5:$E$10,2,FALSE)</f>
        <v/>
      </c>
      <c r="J920" s="24">
        <f>VLOOKUP(D920,Lookups!$A$5:$E$10,3,FALSE)</f>
        <v/>
      </c>
      <c r="K920" s="25">
        <f>VLOOKUP(D920,Lookups!$A$5:$E$10,4,FALSE)</f>
        <v/>
      </c>
      <c r="L920" s="25">
        <f>E920*K920*(1-F920)</f>
        <v/>
      </c>
      <c r="M920" s="25">
        <f>L920*VLOOKUP(D920,Lookups!$A$5:$E$10,5,FALSE)</f>
        <v/>
      </c>
    </row>
    <row r="921">
      <c r="A921" s="21" t="inlineStr">
        <is>
          <t>INV-10677</t>
        </is>
      </c>
      <c r="B921" s="22" t="n">
        <v>45941</v>
      </c>
      <c r="C921" s="21" t="inlineStr">
        <is>
          <t>R04</t>
        </is>
      </c>
      <c r="D921" s="21" t="inlineStr">
        <is>
          <t>P600</t>
        </is>
      </c>
      <c r="E921" s="21" t="n">
        <v>8</v>
      </c>
      <c r="F921" s="23" t="n">
        <v>0.05</v>
      </c>
      <c r="G921" s="24">
        <f>TEXT(B921,"mmm")</f>
        <v/>
      </c>
      <c r="H921" s="24">
        <f>HLOOKUP(C921,Lookups!$H$4:$K$5,2,FALSE)</f>
        <v/>
      </c>
      <c r="I921" s="24">
        <f>VLOOKUP(D921,Lookups!$A$5:$E$10,2,FALSE)</f>
        <v/>
      </c>
      <c r="J921" s="24">
        <f>VLOOKUP(D921,Lookups!$A$5:$E$10,3,FALSE)</f>
        <v/>
      </c>
      <c r="K921" s="25">
        <f>VLOOKUP(D921,Lookups!$A$5:$E$10,4,FALSE)</f>
        <v/>
      </c>
      <c r="L921" s="25">
        <f>E921*K921*(1-F921)</f>
        <v/>
      </c>
      <c r="M921" s="25">
        <f>L921*VLOOKUP(D921,Lookups!$A$5:$E$10,5,FALSE)</f>
        <v/>
      </c>
    </row>
    <row r="922">
      <c r="A922" s="21" t="inlineStr">
        <is>
          <t>INV-10682</t>
        </is>
      </c>
      <c r="B922" s="22" t="n">
        <v>45941</v>
      </c>
      <c r="C922" s="21" t="inlineStr">
        <is>
          <t>R01</t>
        </is>
      </c>
      <c r="D922" s="21" t="inlineStr">
        <is>
          <t>P400</t>
        </is>
      </c>
      <c r="E922" s="21" t="n">
        <v>12</v>
      </c>
      <c r="F922" s="23" t="n">
        <v>0</v>
      </c>
      <c r="G922" s="24">
        <f>TEXT(B922,"mmm")</f>
        <v/>
      </c>
      <c r="H922" s="24">
        <f>HLOOKUP(C922,Lookups!$H$4:$K$5,2,FALSE)</f>
        <v/>
      </c>
      <c r="I922" s="24">
        <f>VLOOKUP(D922,Lookups!$A$5:$E$10,2,FALSE)</f>
        <v/>
      </c>
      <c r="J922" s="24">
        <f>VLOOKUP(D922,Lookups!$A$5:$E$10,3,FALSE)</f>
        <v/>
      </c>
      <c r="K922" s="25">
        <f>VLOOKUP(D922,Lookups!$A$5:$E$10,4,FALSE)</f>
        <v/>
      </c>
      <c r="L922" s="25">
        <f>E922*K922*(1-F922)</f>
        <v/>
      </c>
      <c r="M922" s="25">
        <f>L922*VLOOKUP(D922,Lookups!$A$5:$E$10,5,FALSE)</f>
        <v/>
      </c>
    </row>
    <row r="923">
      <c r="A923" s="21" t="inlineStr">
        <is>
          <t>INV-10148</t>
        </is>
      </c>
      <c r="B923" s="22" t="n">
        <v>45942</v>
      </c>
      <c r="C923" s="21" t="inlineStr">
        <is>
          <t>R02</t>
        </is>
      </c>
      <c r="D923" s="21" t="inlineStr">
        <is>
          <t>P100</t>
        </is>
      </c>
      <c r="E923" s="21" t="n">
        <v>3</v>
      </c>
      <c r="F923" s="23" t="n">
        <v>0</v>
      </c>
      <c r="G923" s="24">
        <f>TEXT(B923,"mmm")</f>
        <v/>
      </c>
      <c r="H923" s="24">
        <f>HLOOKUP(C923,Lookups!$H$4:$K$5,2,FALSE)</f>
        <v/>
      </c>
      <c r="I923" s="24">
        <f>VLOOKUP(D923,Lookups!$A$5:$E$10,2,FALSE)</f>
        <v/>
      </c>
      <c r="J923" s="24">
        <f>VLOOKUP(D923,Lookups!$A$5:$E$10,3,FALSE)</f>
        <v/>
      </c>
      <c r="K923" s="25">
        <f>VLOOKUP(D923,Lookups!$A$5:$E$10,4,FALSE)</f>
        <v/>
      </c>
      <c r="L923" s="25">
        <f>E923*K923*(1-F923)</f>
        <v/>
      </c>
      <c r="M923" s="25">
        <f>L923*VLOOKUP(D923,Lookups!$A$5:$E$10,5,FALSE)</f>
        <v/>
      </c>
    </row>
    <row r="924">
      <c r="A924" s="21" t="inlineStr">
        <is>
          <t>INV-10500</t>
        </is>
      </c>
      <c r="B924" s="22" t="n">
        <v>45942</v>
      </c>
      <c r="C924" s="21" t="inlineStr">
        <is>
          <t>R01</t>
        </is>
      </c>
      <c r="D924" s="21" t="inlineStr">
        <is>
          <t>P400</t>
        </is>
      </c>
      <c r="E924" s="21" t="n">
        <v>12</v>
      </c>
      <c r="F924" s="23" t="n">
        <v>0.1</v>
      </c>
      <c r="G924" s="24">
        <f>TEXT(B924,"mmm")</f>
        <v/>
      </c>
      <c r="H924" s="24">
        <f>HLOOKUP(C924,Lookups!$H$4:$K$5,2,FALSE)</f>
        <v/>
      </c>
      <c r="I924" s="24">
        <f>VLOOKUP(D924,Lookups!$A$5:$E$10,2,FALSE)</f>
        <v/>
      </c>
      <c r="J924" s="24">
        <f>VLOOKUP(D924,Lookups!$A$5:$E$10,3,FALSE)</f>
        <v/>
      </c>
      <c r="K924" s="25">
        <f>VLOOKUP(D924,Lookups!$A$5:$E$10,4,FALSE)</f>
        <v/>
      </c>
      <c r="L924" s="25">
        <f>E924*K924*(1-F924)</f>
        <v/>
      </c>
      <c r="M924" s="25">
        <f>L924*VLOOKUP(D924,Lookups!$A$5:$E$10,5,FALSE)</f>
        <v/>
      </c>
    </row>
    <row r="925">
      <c r="A925" s="21" t="inlineStr">
        <is>
          <t>INV-10704</t>
        </is>
      </c>
      <c r="B925" s="22" t="n">
        <v>45942</v>
      </c>
      <c r="C925" s="21" t="inlineStr">
        <is>
          <t>R02</t>
        </is>
      </c>
      <c r="D925" s="21" t="inlineStr">
        <is>
          <t>P600</t>
        </is>
      </c>
      <c r="E925" s="21" t="n">
        <v>4</v>
      </c>
      <c r="F925" s="23" t="n">
        <v>0.1</v>
      </c>
      <c r="G925" s="24">
        <f>TEXT(B925,"mmm")</f>
        <v/>
      </c>
      <c r="H925" s="24">
        <f>HLOOKUP(C925,Lookups!$H$4:$K$5,2,FALSE)</f>
        <v/>
      </c>
      <c r="I925" s="24">
        <f>VLOOKUP(D925,Lookups!$A$5:$E$10,2,FALSE)</f>
        <v/>
      </c>
      <c r="J925" s="24">
        <f>VLOOKUP(D925,Lookups!$A$5:$E$10,3,FALSE)</f>
        <v/>
      </c>
      <c r="K925" s="25">
        <f>VLOOKUP(D925,Lookups!$A$5:$E$10,4,FALSE)</f>
        <v/>
      </c>
      <c r="L925" s="25">
        <f>E925*K925*(1-F925)</f>
        <v/>
      </c>
      <c r="M925" s="25">
        <f>L925*VLOOKUP(D925,Lookups!$A$5:$E$10,5,FALSE)</f>
        <v/>
      </c>
    </row>
    <row r="926">
      <c r="A926" s="21" t="inlineStr">
        <is>
          <t>INV-11188</t>
        </is>
      </c>
      <c r="B926" s="22" t="n">
        <v>45942</v>
      </c>
      <c r="C926" s="21" t="inlineStr">
        <is>
          <t>R02</t>
        </is>
      </c>
      <c r="D926" s="21" t="inlineStr">
        <is>
          <t>P300</t>
        </is>
      </c>
      <c r="E926" s="21" t="n">
        <v>5</v>
      </c>
      <c r="F926" s="23" t="n">
        <v>0.05</v>
      </c>
      <c r="G926" s="24">
        <f>TEXT(B926,"mmm")</f>
        <v/>
      </c>
      <c r="H926" s="24">
        <f>HLOOKUP(C926,Lookups!$H$4:$K$5,2,FALSE)</f>
        <v/>
      </c>
      <c r="I926" s="24">
        <f>VLOOKUP(D926,Lookups!$A$5:$E$10,2,FALSE)</f>
        <v/>
      </c>
      <c r="J926" s="24">
        <f>VLOOKUP(D926,Lookups!$A$5:$E$10,3,FALSE)</f>
        <v/>
      </c>
      <c r="K926" s="25">
        <f>VLOOKUP(D926,Lookups!$A$5:$E$10,4,FALSE)</f>
        <v/>
      </c>
      <c r="L926" s="25">
        <f>E926*K926*(1-F926)</f>
        <v/>
      </c>
      <c r="M926" s="25">
        <f>L926*VLOOKUP(D926,Lookups!$A$5:$E$10,5,FALSE)</f>
        <v/>
      </c>
    </row>
    <row r="927">
      <c r="A927" s="21" t="inlineStr">
        <is>
          <t>INV-10166</t>
        </is>
      </c>
      <c r="B927" s="22" t="n">
        <v>45943</v>
      </c>
      <c r="C927" s="21" t="inlineStr">
        <is>
          <t>R02</t>
        </is>
      </c>
      <c r="D927" s="21" t="inlineStr">
        <is>
          <t>P400</t>
        </is>
      </c>
      <c r="E927" s="21" t="n">
        <v>25</v>
      </c>
      <c r="F927" s="23" t="n">
        <v>0.1</v>
      </c>
      <c r="G927" s="24">
        <f>TEXT(B927,"mmm")</f>
        <v/>
      </c>
      <c r="H927" s="24">
        <f>HLOOKUP(C927,Lookups!$H$4:$K$5,2,FALSE)</f>
        <v/>
      </c>
      <c r="I927" s="24">
        <f>VLOOKUP(D927,Lookups!$A$5:$E$10,2,FALSE)</f>
        <v/>
      </c>
      <c r="J927" s="24">
        <f>VLOOKUP(D927,Lookups!$A$5:$E$10,3,FALSE)</f>
        <v/>
      </c>
      <c r="K927" s="25">
        <f>VLOOKUP(D927,Lookups!$A$5:$E$10,4,FALSE)</f>
        <v/>
      </c>
      <c r="L927" s="25">
        <f>E927*K927*(1-F927)</f>
        <v/>
      </c>
      <c r="M927" s="25">
        <f>L927*VLOOKUP(D927,Lookups!$A$5:$E$10,5,FALSE)</f>
        <v/>
      </c>
    </row>
    <row r="928">
      <c r="A928" s="21" t="inlineStr">
        <is>
          <t>INV-10237</t>
        </is>
      </c>
      <c r="B928" s="22" t="n">
        <v>45943</v>
      </c>
      <c r="C928" s="21" t="inlineStr">
        <is>
          <t>R01</t>
        </is>
      </c>
      <c r="D928" s="21" t="inlineStr">
        <is>
          <t>P300</t>
        </is>
      </c>
      <c r="E928" s="21" t="n">
        <v>13</v>
      </c>
      <c r="F928" s="23" t="n">
        <v>0</v>
      </c>
      <c r="G928" s="24">
        <f>TEXT(B928,"mmm")</f>
        <v/>
      </c>
      <c r="H928" s="24">
        <f>HLOOKUP(C928,Lookups!$H$4:$K$5,2,FALSE)</f>
        <v/>
      </c>
      <c r="I928" s="24">
        <f>VLOOKUP(D928,Lookups!$A$5:$E$10,2,FALSE)</f>
        <v/>
      </c>
      <c r="J928" s="24">
        <f>VLOOKUP(D928,Lookups!$A$5:$E$10,3,FALSE)</f>
        <v/>
      </c>
      <c r="K928" s="25">
        <f>VLOOKUP(D928,Lookups!$A$5:$E$10,4,FALSE)</f>
        <v/>
      </c>
      <c r="L928" s="25">
        <f>E928*K928*(1-F928)</f>
        <v/>
      </c>
      <c r="M928" s="25">
        <f>L928*VLOOKUP(D928,Lookups!$A$5:$E$10,5,FALSE)</f>
        <v/>
      </c>
    </row>
    <row r="929">
      <c r="A929" s="21" t="inlineStr">
        <is>
          <t>INV-11134</t>
        </is>
      </c>
      <c r="B929" s="22" t="n">
        <v>45943</v>
      </c>
      <c r="C929" s="21" t="inlineStr">
        <is>
          <t>R04</t>
        </is>
      </c>
      <c r="D929" s="21" t="inlineStr">
        <is>
          <t>P600</t>
        </is>
      </c>
      <c r="E929" s="21" t="n">
        <v>24</v>
      </c>
      <c r="F929" s="23" t="n">
        <v>0</v>
      </c>
      <c r="G929" s="24">
        <f>TEXT(B929,"mmm")</f>
        <v/>
      </c>
      <c r="H929" s="24">
        <f>HLOOKUP(C929,Lookups!$H$4:$K$5,2,FALSE)</f>
        <v/>
      </c>
      <c r="I929" s="24">
        <f>VLOOKUP(D929,Lookups!$A$5:$E$10,2,FALSE)</f>
        <v/>
      </c>
      <c r="J929" s="24">
        <f>VLOOKUP(D929,Lookups!$A$5:$E$10,3,FALSE)</f>
        <v/>
      </c>
      <c r="K929" s="25">
        <f>VLOOKUP(D929,Lookups!$A$5:$E$10,4,FALSE)</f>
        <v/>
      </c>
      <c r="L929" s="25">
        <f>E929*K929*(1-F929)</f>
        <v/>
      </c>
      <c r="M929" s="25">
        <f>L929*VLOOKUP(D929,Lookups!$A$5:$E$10,5,FALSE)</f>
        <v/>
      </c>
    </row>
    <row r="930">
      <c r="A930" s="21" t="inlineStr">
        <is>
          <t>INV-11196</t>
        </is>
      </c>
      <c r="B930" s="22" t="n">
        <v>45943</v>
      </c>
      <c r="C930" s="21" t="inlineStr">
        <is>
          <t>R01</t>
        </is>
      </c>
      <c r="D930" s="21" t="inlineStr">
        <is>
          <t>P500</t>
        </is>
      </c>
      <c r="E930" s="21" t="n">
        <v>6</v>
      </c>
      <c r="F930" s="23" t="n">
        <v>0.05</v>
      </c>
      <c r="G930" s="24">
        <f>TEXT(B930,"mmm")</f>
        <v/>
      </c>
      <c r="H930" s="24">
        <f>HLOOKUP(C930,Lookups!$H$4:$K$5,2,FALSE)</f>
        <v/>
      </c>
      <c r="I930" s="24">
        <f>VLOOKUP(D930,Lookups!$A$5:$E$10,2,FALSE)</f>
        <v/>
      </c>
      <c r="J930" s="24">
        <f>VLOOKUP(D930,Lookups!$A$5:$E$10,3,FALSE)</f>
        <v/>
      </c>
      <c r="K930" s="25">
        <f>VLOOKUP(D930,Lookups!$A$5:$E$10,4,FALSE)</f>
        <v/>
      </c>
      <c r="L930" s="25">
        <f>E930*K930*(1-F930)</f>
        <v/>
      </c>
      <c r="M930" s="25">
        <f>L930*VLOOKUP(D930,Lookups!$A$5:$E$10,5,FALSE)</f>
        <v/>
      </c>
    </row>
    <row r="931">
      <c r="A931" s="21" t="inlineStr">
        <is>
          <t>INV-10816</t>
        </is>
      </c>
      <c r="B931" s="22" t="n">
        <v>45944</v>
      </c>
      <c r="C931" s="21" t="inlineStr">
        <is>
          <t>R03</t>
        </is>
      </c>
      <c r="D931" s="21" t="inlineStr">
        <is>
          <t>P200</t>
        </is>
      </c>
      <c r="E931" s="21" t="n">
        <v>21</v>
      </c>
      <c r="F931" s="23" t="n">
        <v>0</v>
      </c>
      <c r="G931" s="24">
        <f>TEXT(B931,"mmm")</f>
        <v/>
      </c>
      <c r="H931" s="24">
        <f>HLOOKUP(C931,Lookups!$H$4:$K$5,2,FALSE)</f>
        <v/>
      </c>
      <c r="I931" s="24">
        <f>VLOOKUP(D931,Lookups!$A$5:$E$10,2,FALSE)</f>
        <v/>
      </c>
      <c r="J931" s="24">
        <f>VLOOKUP(D931,Lookups!$A$5:$E$10,3,FALSE)</f>
        <v/>
      </c>
      <c r="K931" s="25">
        <f>VLOOKUP(D931,Lookups!$A$5:$E$10,4,FALSE)</f>
        <v/>
      </c>
      <c r="L931" s="25">
        <f>E931*K931*(1-F931)</f>
        <v/>
      </c>
      <c r="M931" s="25">
        <f>L931*VLOOKUP(D931,Lookups!$A$5:$E$10,5,FALSE)</f>
        <v/>
      </c>
    </row>
    <row r="932">
      <c r="A932" s="21" t="inlineStr">
        <is>
          <t>INV-11003</t>
        </is>
      </c>
      <c r="B932" s="22" t="n">
        <v>45944</v>
      </c>
      <c r="C932" s="21" t="inlineStr">
        <is>
          <t>R04</t>
        </is>
      </c>
      <c r="D932" s="21" t="inlineStr">
        <is>
          <t>P500</t>
        </is>
      </c>
      <c r="E932" s="21" t="n">
        <v>9</v>
      </c>
      <c r="F932" s="23" t="n">
        <v>0.05</v>
      </c>
      <c r="G932" s="24">
        <f>TEXT(B932,"mmm")</f>
        <v/>
      </c>
      <c r="H932" s="24">
        <f>HLOOKUP(C932,Lookups!$H$4:$K$5,2,FALSE)</f>
        <v/>
      </c>
      <c r="I932" s="24">
        <f>VLOOKUP(D932,Lookups!$A$5:$E$10,2,FALSE)</f>
        <v/>
      </c>
      <c r="J932" s="24">
        <f>VLOOKUP(D932,Lookups!$A$5:$E$10,3,FALSE)</f>
        <v/>
      </c>
      <c r="K932" s="25">
        <f>VLOOKUP(D932,Lookups!$A$5:$E$10,4,FALSE)</f>
        <v/>
      </c>
      <c r="L932" s="25">
        <f>E932*K932*(1-F932)</f>
        <v/>
      </c>
      <c r="M932" s="25">
        <f>L932*VLOOKUP(D932,Lookups!$A$5:$E$10,5,FALSE)</f>
        <v/>
      </c>
    </row>
    <row r="933">
      <c r="A933" s="21" t="inlineStr">
        <is>
          <t>INV-11018</t>
        </is>
      </c>
      <c r="B933" s="22" t="n">
        <v>45944</v>
      </c>
      <c r="C933" s="21" t="inlineStr">
        <is>
          <t>R03</t>
        </is>
      </c>
      <c r="D933" s="21" t="inlineStr">
        <is>
          <t>P500</t>
        </is>
      </c>
      <c r="E933" s="21" t="n">
        <v>12</v>
      </c>
      <c r="F933" s="23" t="n">
        <v>0.05</v>
      </c>
      <c r="G933" s="24">
        <f>TEXT(B933,"mmm")</f>
        <v/>
      </c>
      <c r="H933" s="24">
        <f>HLOOKUP(C933,Lookups!$H$4:$K$5,2,FALSE)</f>
        <v/>
      </c>
      <c r="I933" s="24">
        <f>VLOOKUP(D933,Lookups!$A$5:$E$10,2,FALSE)</f>
        <v/>
      </c>
      <c r="J933" s="24">
        <f>VLOOKUP(D933,Lookups!$A$5:$E$10,3,FALSE)</f>
        <v/>
      </c>
      <c r="K933" s="25">
        <f>VLOOKUP(D933,Lookups!$A$5:$E$10,4,FALSE)</f>
        <v/>
      </c>
      <c r="L933" s="25">
        <f>E933*K933*(1-F933)</f>
        <v/>
      </c>
      <c r="M933" s="25">
        <f>L933*VLOOKUP(D933,Lookups!$A$5:$E$10,5,FALSE)</f>
        <v/>
      </c>
    </row>
    <row r="934">
      <c r="A934" s="21" t="inlineStr">
        <is>
          <t>INV-11114</t>
        </is>
      </c>
      <c r="B934" s="22" t="n">
        <v>45944</v>
      </c>
      <c r="C934" s="21" t="inlineStr">
        <is>
          <t>R04</t>
        </is>
      </c>
      <c r="D934" s="21" t="inlineStr">
        <is>
          <t>P300</t>
        </is>
      </c>
      <c r="E934" s="21" t="n">
        <v>7</v>
      </c>
      <c r="F934" s="23" t="n">
        <v>0</v>
      </c>
      <c r="G934" s="24">
        <f>TEXT(B934,"mmm")</f>
        <v/>
      </c>
      <c r="H934" s="24">
        <f>HLOOKUP(C934,Lookups!$H$4:$K$5,2,FALSE)</f>
        <v/>
      </c>
      <c r="I934" s="24">
        <f>VLOOKUP(D934,Lookups!$A$5:$E$10,2,FALSE)</f>
        <v/>
      </c>
      <c r="J934" s="24">
        <f>VLOOKUP(D934,Lookups!$A$5:$E$10,3,FALSE)</f>
        <v/>
      </c>
      <c r="K934" s="25">
        <f>VLOOKUP(D934,Lookups!$A$5:$E$10,4,FALSE)</f>
        <v/>
      </c>
      <c r="L934" s="25">
        <f>E934*K934*(1-F934)</f>
        <v/>
      </c>
      <c r="M934" s="25">
        <f>L934*VLOOKUP(D934,Lookups!$A$5:$E$10,5,FALSE)</f>
        <v/>
      </c>
    </row>
    <row r="935">
      <c r="A935" s="21" t="inlineStr">
        <is>
          <t>INV-10437</t>
        </is>
      </c>
      <c r="B935" s="22" t="n">
        <v>45945</v>
      </c>
      <c r="C935" s="21" t="inlineStr">
        <is>
          <t>R04</t>
        </is>
      </c>
      <c r="D935" s="21" t="inlineStr">
        <is>
          <t>P300</t>
        </is>
      </c>
      <c r="E935" s="21" t="n">
        <v>17</v>
      </c>
      <c r="F935" s="23" t="n">
        <v>0.1</v>
      </c>
      <c r="G935" s="24">
        <f>TEXT(B935,"mmm")</f>
        <v/>
      </c>
      <c r="H935" s="24">
        <f>HLOOKUP(C935,Lookups!$H$4:$K$5,2,FALSE)</f>
        <v/>
      </c>
      <c r="I935" s="24">
        <f>VLOOKUP(D935,Lookups!$A$5:$E$10,2,FALSE)</f>
        <v/>
      </c>
      <c r="J935" s="24">
        <f>VLOOKUP(D935,Lookups!$A$5:$E$10,3,FALSE)</f>
        <v/>
      </c>
      <c r="K935" s="25">
        <f>VLOOKUP(D935,Lookups!$A$5:$E$10,4,FALSE)</f>
        <v/>
      </c>
      <c r="L935" s="25">
        <f>E935*K935*(1-F935)</f>
        <v/>
      </c>
      <c r="M935" s="25">
        <f>L935*VLOOKUP(D935,Lookups!$A$5:$E$10,5,FALSE)</f>
        <v/>
      </c>
    </row>
    <row r="936">
      <c r="A936" s="21" t="inlineStr">
        <is>
          <t>INV-10133</t>
        </is>
      </c>
      <c r="B936" s="22" t="n">
        <v>45946</v>
      </c>
      <c r="C936" s="21" t="inlineStr">
        <is>
          <t>R04</t>
        </is>
      </c>
      <c r="D936" s="21" t="inlineStr">
        <is>
          <t>P200</t>
        </is>
      </c>
      <c r="E936" s="21" t="n">
        <v>23</v>
      </c>
      <c r="F936" s="23" t="n">
        <v>0.05</v>
      </c>
      <c r="G936" s="24">
        <f>TEXT(B936,"mmm")</f>
        <v/>
      </c>
      <c r="H936" s="24">
        <f>HLOOKUP(C936,Lookups!$H$4:$K$5,2,FALSE)</f>
        <v/>
      </c>
      <c r="I936" s="24">
        <f>VLOOKUP(D936,Lookups!$A$5:$E$10,2,FALSE)</f>
        <v/>
      </c>
      <c r="J936" s="24">
        <f>VLOOKUP(D936,Lookups!$A$5:$E$10,3,FALSE)</f>
        <v/>
      </c>
      <c r="K936" s="25">
        <f>VLOOKUP(D936,Lookups!$A$5:$E$10,4,FALSE)</f>
        <v/>
      </c>
      <c r="L936" s="25">
        <f>E936*K936*(1-F936)</f>
        <v/>
      </c>
      <c r="M936" s="25">
        <f>L936*VLOOKUP(D936,Lookups!$A$5:$E$10,5,FALSE)</f>
        <v/>
      </c>
    </row>
    <row r="937">
      <c r="A937" s="21" t="inlineStr">
        <is>
          <t>INV-10165</t>
        </is>
      </c>
      <c r="B937" s="22" t="n">
        <v>45946</v>
      </c>
      <c r="C937" s="21" t="inlineStr">
        <is>
          <t>R01</t>
        </is>
      </c>
      <c r="D937" s="21" t="inlineStr">
        <is>
          <t>P300</t>
        </is>
      </c>
      <c r="E937" s="21" t="n">
        <v>8</v>
      </c>
      <c r="F937" s="23" t="n">
        <v>0</v>
      </c>
      <c r="G937" s="24">
        <f>TEXT(B937,"mmm")</f>
        <v/>
      </c>
      <c r="H937" s="24">
        <f>HLOOKUP(C937,Lookups!$H$4:$K$5,2,FALSE)</f>
        <v/>
      </c>
      <c r="I937" s="24">
        <f>VLOOKUP(D937,Lookups!$A$5:$E$10,2,FALSE)</f>
        <v/>
      </c>
      <c r="J937" s="24">
        <f>VLOOKUP(D937,Lookups!$A$5:$E$10,3,FALSE)</f>
        <v/>
      </c>
      <c r="K937" s="25">
        <f>VLOOKUP(D937,Lookups!$A$5:$E$10,4,FALSE)</f>
        <v/>
      </c>
      <c r="L937" s="25">
        <f>E937*K937*(1-F937)</f>
        <v/>
      </c>
      <c r="M937" s="25">
        <f>L937*VLOOKUP(D937,Lookups!$A$5:$E$10,5,FALSE)</f>
        <v/>
      </c>
    </row>
    <row r="938">
      <c r="A938" s="21" t="inlineStr">
        <is>
          <t>INV-10400</t>
        </is>
      </c>
      <c r="B938" s="22" t="n">
        <v>45946</v>
      </c>
      <c r="C938" s="21" t="inlineStr">
        <is>
          <t>R01</t>
        </is>
      </c>
      <c r="D938" s="21" t="inlineStr">
        <is>
          <t>P100</t>
        </is>
      </c>
      <c r="E938" s="21" t="n">
        <v>3</v>
      </c>
      <c r="F938" s="23" t="n">
        <v>0</v>
      </c>
      <c r="G938" s="24">
        <f>TEXT(B938,"mmm")</f>
        <v/>
      </c>
      <c r="H938" s="24">
        <f>HLOOKUP(C938,Lookups!$H$4:$K$5,2,FALSE)</f>
        <v/>
      </c>
      <c r="I938" s="24">
        <f>VLOOKUP(D938,Lookups!$A$5:$E$10,2,FALSE)</f>
        <v/>
      </c>
      <c r="J938" s="24">
        <f>VLOOKUP(D938,Lookups!$A$5:$E$10,3,FALSE)</f>
        <v/>
      </c>
      <c r="K938" s="25">
        <f>VLOOKUP(D938,Lookups!$A$5:$E$10,4,FALSE)</f>
        <v/>
      </c>
      <c r="L938" s="25">
        <f>E938*K938*(1-F938)</f>
        <v/>
      </c>
      <c r="M938" s="25">
        <f>L938*VLOOKUP(D938,Lookups!$A$5:$E$10,5,FALSE)</f>
        <v/>
      </c>
    </row>
    <row r="939">
      <c r="A939" s="21" t="inlineStr">
        <is>
          <t>INV-10542</t>
        </is>
      </c>
      <c r="B939" s="22" t="n">
        <v>45946</v>
      </c>
      <c r="C939" s="21" t="inlineStr">
        <is>
          <t>R04</t>
        </is>
      </c>
      <c r="D939" s="21" t="inlineStr">
        <is>
          <t>P200</t>
        </is>
      </c>
      <c r="E939" s="21" t="n">
        <v>22</v>
      </c>
      <c r="F939" s="23" t="n">
        <v>0.05</v>
      </c>
      <c r="G939" s="24">
        <f>TEXT(B939,"mmm")</f>
        <v/>
      </c>
      <c r="H939" s="24">
        <f>HLOOKUP(C939,Lookups!$H$4:$K$5,2,FALSE)</f>
        <v/>
      </c>
      <c r="I939" s="24">
        <f>VLOOKUP(D939,Lookups!$A$5:$E$10,2,FALSE)</f>
        <v/>
      </c>
      <c r="J939" s="24">
        <f>VLOOKUP(D939,Lookups!$A$5:$E$10,3,FALSE)</f>
        <v/>
      </c>
      <c r="K939" s="25">
        <f>VLOOKUP(D939,Lookups!$A$5:$E$10,4,FALSE)</f>
        <v/>
      </c>
      <c r="L939" s="25">
        <f>E939*K939*(1-F939)</f>
        <v/>
      </c>
      <c r="M939" s="25">
        <f>L939*VLOOKUP(D939,Lookups!$A$5:$E$10,5,FALSE)</f>
        <v/>
      </c>
    </row>
    <row r="940">
      <c r="A940" s="21" t="inlineStr">
        <is>
          <t>INV-10579</t>
        </is>
      </c>
      <c r="B940" s="22" t="n">
        <v>45946</v>
      </c>
      <c r="C940" s="21" t="inlineStr">
        <is>
          <t>R04</t>
        </is>
      </c>
      <c r="D940" s="21" t="inlineStr">
        <is>
          <t>P600</t>
        </is>
      </c>
      <c r="E940" s="21" t="n">
        <v>25</v>
      </c>
      <c r="F940" s="23" t="n">
        <v>0.05</v>
      </c>
      <c r="G940" s="24">
        <f>TEXT(B940,"mmm")</f>
        <v/>
      </c>
      <c r="H940" s="24">
        <f>HLOOKUP(C940,Lookups!$H$4:$K$5,2,FALSE)</f>
        <v/>
      </c>
      <c r="I940" s="24">
        <f>VLOOKUP(D940,Lookups!$A$5:$E$10,2,FALSE)</f>
        <v/>
      </c>
      <c r="J940" s="24">
        <f>VLOOKUP(D940,Lookups!$A$5:$E$10,3,FALSE)</f>
        <v/>
      </c>
      <c r="K940" s="25">
        <f>VLOOKUP(D940,Lookups!$A$5:$E$10,4,FALSE)</f>
        <v/>
      </c>
      <c r="L940" s="25">
        <f>E940*K940*(1-F940)</f>
        <v/>
      </c>
      <c r="M940" s="25">
        <f>L940*VLOOKUP(D940,Lookups!$A$5:$E$10,5,FALSE)</f>
        <v/>
      </c>
    </row>
    <row r="941">
      <c r="A941" s="21" t="inlineStr">
        <is>
          <t>INV-10726</t>
        </is>
      </c>
      <c r="B941" s="22" t="n">
        <v>45946</v>
      </c>
      <c r="C941" s="21" t="inlineStr">
        <is>
          <t>R04</t>
        </is>
      </c>
      <c r="D941" s="21" t="inlineStr">
        <is>
          <t>P200</t>
        </is>
      </c>
      <c r="E941" s="21" t="n">
        <v>18</v>
      </c>
      <c r="F941" s="23" t="n">
        <v>0.05</v>
      </c>
      <c r="G941" s="24">
        <f>TEXT(B941,"mmm")</f>
        <v/>
      </c>
      <c r="H941" s="24">
        <f>HLOOKUP(C941,Lookups!$H$4:$K$5,2,FALSE)</f>
        <v/>
      </c>
      <c r="I941" s="24">
        <f>VLOOKUP(D941,Lookups!$A$5:$E$10,2,FALSE)</f>
        <v/>
      </c>
      <c r="J941" s="24">
        <f>VLOOKUP(D941,Lookups!$A$5:$E$10,3,FALSE)</f>
        <v/>
      </c>
      <c r="K941" s="25">
        <f>VLOOKUP(D941,Lookups!$A$5:$E$10,4,FALSE)</f>
        <v/>
      </c>
      <c r="L941" s="25">
        <f>E941*K941*(1-F941)</f>
        <v/>
      </c>
      <c r="M941" s="25">
        <f>L941*VLOOKUP(D941,Lookups!$A$5:$E$10,5,FALSE)</f>
        <v/>
      </c>
    </row>
    <row r="942">
      <c r="A942" s="21" t="inlineStr">
        <is>
          <t>INV-10138</t>
        </is>
      </c>
      <c r="B942" s="22" t="n">
        <v>45947</v>
      </c>
      <c r="C942" s="21" t="inlineStr">
        <is>
          <t>R03</t>
        </is>
      </c>
      <c r="D942" s="21" t="inlineStr">
        <is>
          <t>P100</t>
        </is>
      </c>
      <c r="E942" s="21" t="n">
        <v>18</v>
      </c>
      <c r="F942" s="23" t="n">
        <v>0.1</v>
      </c>
      <c r="G942" s="24">
        <f>TEXT(B942,"mmm")</f>
        <v/>
      </c>
      <c r="H942" s="24">
        <f>HLOOKUP(C942,Lookups!$H$4:$K$5,2,FALSE)</f>
        <v/>
      </c>
      <c r="I942" s="24">
        <f>VLOOKUP(D942,Lookups!$A$5:$E$10,2,FALSE)</f>
        <v/>
      </c>
      <c r="J942" s="24">
        <f>VLOOKUP(D942,Lookups!$A$5:$E$10,3,FALSE)</f>
        <v/>
      </c>
      <c r="K942" s="25">
        <f>VLOOKUP(D942,Lookups!$A$5:$E$10,4,FALSE)</f>
        <v/>
      </c>
      <c r="L942" s="25">
        <f>E942*K942*(1-F942)</f>
        <v/>
      </c>
      <c r="M942" s="25">
        <f>L942*VLOOKUP(D942,Lookups!$A$5:$E$10,5,FALSE)</f>
        <v/>
      </c>
    </row>
    <row r="943">
      <c r="A943" s="21" t="inlineStr">
        <is>
          <t>INV-10533</t>
        </is>
      </c>
      <c r="B943" s="22" t="n">
        <v>45947</v>
      </c>
      <c r="C943" s="21" t="inlineStr">
        <is>
          <t>R02</t>
        </is>
      </c>
      <c r="D943" s="21" t="inlineStr">
        <is>
          <t>P200</t>
        </is>
      </c>
      <c r="E943" s="21" t="n">
        <v>10</v>
      </c>
      <c r="F943" s="23" t="n">
        <v>0</v>
      </c>
      <c r="G943" s="24">
        <f>TEXT(B943,"mmm")</f>
        <v/>
      </c>
      <c r="H943" s="24">
        <f>HLOOKUP(C943,Lookups!$H$4:$K$5,2,FALSE)</f>
        <v/>
      </c>
      <c r="I943" s="24">
        <f>VLOOKUP(D943,Lookups!$A$5:$E$10,2,FALSE)</f>
        <v/>
      </c>
      <c r="J943" s="24">
        <f>VLOOKUP(D943,Lookups!$A$5:$E$10,3,FALSE)</f>
        <v/>
      </c>
      <c r="K943" s="25">
        <f>VLOOKUP(D943,Lookups!$A$5:$E$10,4,FALSE)</f>
        <v/>
      </c>
      <c r="L943" s="25">
        <f>E943*K943*(1-F943)</f>
        <v/>
      </c>
      <c r="M943" s="25">
        <f>L943*VLOOKUP(D943,Lookups!$A$5:$E$10,5,FALSE)</f>
        <v/>
      </c>
    </row>
    <row r="944">
      <c r="A944" s="21" t="inlineStr">
        <is>
          <t>INV-10612</t>
        </is>
      </c>
      <c r="B944" s="22" t="n">
        <v>45947</v>
      </c>
      <c r="C944" s="21" t="inlineStr">
        <is>
          <t>R04</t>
        </is>
      </c>
      <c r="D944" s="21" t="inlineStr">
        <is>
          <t>P600</t>
        </is>
      </c>
      <c r="E944" s="21" t="n">
        <v>18</v>
      </c>
      <c r="F944" s="23" t="n">
        <v>0</v>
      </c>
      <c r="G944" s="24">
        <f>TEXT(B944,"mmm")</f>
        <v/>
      </c>
      <c r="H944" s="24">
        <f>HLOOKUP(C944,Lookups!$H$4:$K$5,2,FALSE)</f>
        <v/>
      </c>
      <c r="I944" s="24">
        <f>VLOOKUP(D944,Lookups!$A$5:$E$10,2,FALSE)</f>
        <v/>
      </c>
      <c r="J944" s="24">
        <f>VLOOKUP(D944,Lookups!$A$5:$E$10,3,FALSE)</f>
        <v/>
      </c>
      <c r="K944" s="25">
        <f>VLOOKUP(D944,Lookups!$A$5:$E$10,4,FALSE)</f>
        <v/>
      </c>
      <c r="L944" s="25">
        <f>E944*K944*(1-F944)</f>
        <v/>
      </c>
      <c r="M944" s="25">
        <f>L944*VLOOKUP(D944,Lookups!$A$5:$E$10,5,FALSE)</f>
        <v/>
      </c>
    </row>
    <row r="945">
      <c r="A945" s="21" t="inlineStr">
        <is>
          <t>INV-10965</t>
        </is>
      </c>
      <c r="B945" s="22" t="n">
        <v>45947</v>
      </c>
      <c r="C945" s="21" t="inlineStr">
        <is>
          <t>R02</t>
        </is>
      </c>
      <c r="D945" s="21" t="inlineStr">
        <is>
          <t>P500</t>
        </is>
      </c>
      <c r="E945" s="21" t="n">
        <v>24</v>
      </c>
      <c r="F945" s="23" t="n">
        <v>0.1</v>
      </c>
      <c r="G945" s="24">
        <f>TEXT(B945,"mmm")</f>
        <v/>
      </c>
      <c r="H945" s="24">
        <f>HLOOKUP(C945,Lookups!$H$4:$K$5,2,FALSE)</f>
        <v/>
      </c>
      <c r="I945" s="24">
        <f>VLOOKUP(D945,Lookups!$A$5:$E$10,2,FALSE)</f>
        <v/>
      </c>
      <c r="J945" s="24">
        <f>VLOOKUP(D945,Lookups!$A$5:$E$10,3,FALSE)</f>
        <v/>
      </c>
      <c r="K945" s="25">
        <f>VLOOKUP(D945,Lookups!$A$5:$E$10,4,FALSE)</f>
        <v/>
      </c>
      <c r="L945" s="25">
        <f>E945*K945*(1-F945)</f>
        <v/>
      </c>
      <c r="M945" s="25">
        <f>L945*VLOOKUP(D945,Lookups!$A$5:$E$10,5,FALSE)</f>
        <v/>
      </c>
    </row>
    <row r="946">
      <c r="A946" s="21" t="inlineStr">
        <is>
          <t>INV-11001</t>
        </is>
      </c>
      <c r="B946" s="22" t="n">
        <v>45947</v>
      </c>
      <c r="C946" s="21" t="inlineStr">
        <is>
          <t>R03</t>
        </is>
      </c>
      <c r="D946" s="21" t="inlineStr">
        <is>
          <t>P300</t>
        </is>
      </c>
      <c r="E946" s="21" t="n">
        <v>22</v>
      </c>
      <c r="F946" s="23" t="n">
        <v>0.1</v>
      </c>
      <c r="G946" s="24">
        <f>TEXT(B946,"mmm")</f>
        <v/>
      </c>
      <c r="H946" s="24">
        <f>HLOOKUP(C946,Lookups!$H$4:$K$5,2,FALSE)</f>
        <v/>
      </c>
      <c r="I946" s="24">
        <f>VLOOKUP(D946,Lookups!$A$5:$E$10,2,FALSE)</f>
        <v/>
      </c>
      <c r="J946" s="24">
        <f>VLOOKUP(D946,Lookups!$A$5:$E$10,3,FALSE)</f>
        <v/>
      </c>
      <c r="K946" s="25">
        <f>VLOOKUP(D946,Lookups!$A$5:$E$10,4,FALSE)</f>
        <v/>
      </c>
      <c r="L946" s="25">
        <f>E946*K946*(1-F946)</f>
        <v/>
      </c>
      <c r="M946" s="25">
        <f>L946*VLOOKUP(D946,Lookups!$A$5:$E$10,5,FALSE)</f>
        <v/>
      </c>
    </row>
    <row r="947">
      <c r="A947" s="21" t="inlineStr">
        <is>
          <t>INV-10020</t>
        </is>
      </c>
      <c r="B947" s="22" t="n">
        <v>45948</v>
      </c>
      <c r="C947" s="21" t="inlineStr">
        <is>
          <t>R03</t>
        </is>
      </c>
      <c r="D947" s="21" t="inlineStr">
        <is>
          <t>P600</t>
        </is>
      </c>
      <c r="E947" s="21" t="n">
        <v>7</v>
      </c>
      <c r="F947" s="23" t="n">
        <v>0.1</v>
      </c>
      <c r="G947" s="24">
        <f>TEXT(B947,"mmm")</f>
        <v/>
      </c>
      <c r="H947" s="24">
        <f>HLOOKUP(C947,Lookups!$H$4:$K$5,2,FALSE)</f>
        <v/>
      </c>
      <c r="I947" s="24">
        <f>VLOOKUP(D947,Lookups!$A$5:$E$10,2,FALSE)</f>
        <v/>
      </c>
      <c r="J947" s="24">
        <f>VLOOKUP(D947,Lookups!$A$5:$E$10,3,FALSE)</f>
        <v/>
      </c>
      <c r="K947" s="25">
        <f>VLOOKUP(D947,Lookups!$A$5:$E$10,4,FALSE)</f>
        <v/>
      </c>
      <c r="L947" s="25">
        <f>E947*K947*(1-F947)</f>
        <v/>
      </c>
      <c r="M947" s="25">
        <f>L947*VLOOKUP(D947,Lookups!$A$5:$E$10,5,FALSE)</f>
        <v/>
      </c>
    </row>
    <row r="948">
      <c r="A948" s="21" t="inlineStr">
        <is>
          <t>INV-10035</t>
        </is>
      </c>
      <c r="B948" s="22" t="n">
        <v>45948</v>
      </c>
      <c r="C948" s="21" t="inlineStr">
        <is>
          <t>R01</t>
        </is>
      </c>
      <c r="D948" s="21" t="inlineStr">
        <is>
          <t>P100</t>
        </is>
      </c>
      <c r="E948" s="21" t="n">
        <v>24</v>
      </c>
      <c r="F948" s="23" t="n">
        <v>0.1</v>
      </c>
      <c r="G948" s="24">
        <f>TEXT(B948,"mmm")</f>
        <v/>
      </c>
      <c r="H948" s="24">
        <f>HLOOKUP(C948,Lookups!$H$4:$K$5,2,FALSE)</f>
        <v/>
      </c>
      <c r="I948" s="24">
        <f>VLOOKUP(D948,Lookups!$A$5:$E$10,2,FALSE)</f>
        <v/>
      </c>
      <c r="J948" s="24">
        <f>VLOOKUP(D948,Lookups!$A$5:$E$10,3,FALSE)</f>
        <v/>
      </c>
      <c r="K948" s="25">
        <f>VLOOKUP(D948,Lookups!$A$5:$E$10,4,FALSE)</f>
        <v/>
      </c>
      <c r="L948" s="25">
        <f>E948*K948*(1-F948)</f>
        <v/>
      </c>
      <c r="M948" s="25">
        <f>L948*VLOOKUP(D948,Lookups!$A$5:$E$10,5,FALSE)</f>
        <v/>
      </c>
    </row>
    <row r="949">
      <c r="A949" s="21" t="inlineStr">
        <is>
          <t>INV-10377</t>
        </is>
      </c>
      <c r="B949" s="22" t="n">
        <v>45948</v>
      </c>
      <c r="C949" s="21" t="inlineStr">
        <is>
          <t>R02</t>
        </is>
      </c>
      <c r="D949" s="21" t="inlineStr">
        <is>
          <t>P100</t>
        </is>
      </c>
      <c r="E949" s="21" t="n">
        <v>22</v>
      </c>
      <c r="F949" s="23" t="n">
        <v>0.1</v>
      </c>
      <c r="G949" s="24">
        <f>TEXT(B949,"mmm")</f>
        <v/>
      </c>
      <c r="H949" s="24">
        <f>HLOOKUP(C949,Lookups!$H$4:$K$5,2,FALSE)</f>
        <v/>
      </c>
      <c r="I949" s="24">
        <f>VLOOKUP(D949,Lookups!$A$5:$E$10,2,FALSE)</f>
        <v/>
      </c>
      <c r="J949" s="24">
        <f>VLOOKUP(D949,Lookups!$A$5:$E$10,3,FALSE)</f>
        <v/>
      </c>
      <c r="K949" s="25">
        <f>VLOOKUP(D949,Lookups!$A$5:$E$10,4,FALSE)</f>
        <v/>
      </c>
      <c r="L949" s="25">
        <f>E949*K949*(1-F949)</f>
        <v/>
      </c>
      <c r="M949" s="25">
        <f>L949*VLOOKUP(D949,Lookups!$A$5:$E$10,5,FALSE)</f>
        <v/>
      </c>
    </row>
    <row r="950">
      <c r="A950" s="21" t="inlineStr">
        <is>
          <t>INV-10673</t>
        </is>
      </c>
      <c r="B950" s="22" t="n">
        <v>45948</v>
      </c>
      <c r="C950" s="21" t="inlineStr">
        <is>
          <t>R03</t>
        </is>
      </c>
      <c r="D950" s="21" t="inlineStr">
        <is>
          <t>P200</t>
        </is>
      </c>
      <c r="E950" s="21" t="n">
        <v>6</v>
      </c>
      <c r="F950" s="23" t="n">
        <v>0.05</v>
      </c>
      <c r="G950" s="24">
        <f>TEXT(B950,"mmm")</f>
        <v/>
      </c>
      <c r="H950" s="24">
        <f>HLOOKUP(C950,Lookups!$H$4:$K$5,2,FALSE)</f>
        <v/>
      </c>
      <c r="I950" s="24">
        <f>VLOOKUP(D950,Lookups!$A$5:$E$10,2,FALSE)</f>
        <v/>
      </c>
      <c r="J950" s="24">
        <f>VLOOKUP(D950,Lookups!$A$5:$E$10,3,FALSE)</f>
        <v/>
      </c>
      <c r="K950" s="25">
        <f>VLOOKUP(D950,Lookups!$A$5:$E$10,4,FALSE)</f>
        <v/>
      </c>
      <c r="L950" s="25">
        <f>E950*K950*(1-F950)</f>
        <v/>
      </c>
      <c r="M950" s="25">
        <f>L950*VLOOKUP(D950,Lookups!$A$5:$E$10,5,FALSE)</f>
        <v/>
      </c>
    </row>
    <row r="951">
      <c r="A951" s="21" t="inlineStr">
        <is>
          <t>INV-10145</t>
        </is>
      </c>
      <c r="B951" s="22" t="n">
        <v>45949</v>
      </c>
      <c r="C951" s="21" t="inlineStr">
        <is>
          <t>R04</t>
        </is>
      </c>
      <c r="D951" s="21" t="inlineStr">
        <is>
          <t>P500</t>
        </is>
      </c>
      <c r="E951" s="21" t="n">
        <v>11</v>
      </c>
      <c r="F951" s="23" t="n">
        <v>0</v>
      </c>
      <c r="G951" s="24">
        <f>TEXT(B951,"mmm")</f>
        <v/>
      </c>
      <c r="H951" s="24">
        <f>HLOOKUP(C951,Lookups!$H$4:$K$5,2,FALSE)</f>
        <v/>
      </c>
      <c r="I951" s="24">
        <f>VLOOKUP(D951,Lookups!$A$5:$E$10,2,FALSE)</f>
        <v/>
      </c>
      <c r="J951" s="24">
        <f>VLOOKUP(D951,Lookups!$A$5:$E$10,3,FALSE)</f>
        <v/>
      </c>
      <c r="K951" s="25">
        <f>VLOOKUP(D951,Lookups!$A$5:$E$10,4,FALSE)</f>
        <v/>
      </c>
      <c r="L951" s="25">
        <f>E951*K951*(1-F951)</f>
        <v/>
      </c>
      <c r="M951" s="25">
        <f>L951*VLOOKUP(D951,Lookups!$A$5:$E$10,5,FALSE)</f>
        <v/>
      </c>
    </row>
    <row r="952">
      <c r="A952" s="21" t="inlineStr">
        <is>
          <t>INV-10419</t>
        </is>
      </c>
      <c r="B952" s="22" t="n">
        <v>45949</v>
      </c>
      <c r="C952" s="21" t="inlineStr">
        <is>
          <t>R02</t>
        </is>
      </c>
      <c r="D952" s="21" t="inlineStr">
        <is>
          <t>P500</t>
        </is>
      </c>
      <c r="E952" s="21" t="n">
        <v>12</v>
      </c>
      <c r="F952" s="23" t="n">
        <v>0.05</v>
      </c>
      <c r="G952" s="24">
        <f>TEXT(B952,"mmm")</f>
        <v/>
      </c>
      <c r="H952" s="24">
        <f>HLOOKUP(C952,Lookups!$H$4:$K$5,2,FALSE)</f>
        <v/>
      </c>
      <c r="I952" s="24">
        <f>VLOOKUP(D952,Lookups!$A$5:$E$10,2,FALSE)</f>
        <v/>
      </c>
      <c r="J952" s="24">
        <f>VLOOKUP(D952,Lookups!$A$5:$E$10,3,FALSE)</f>
        <v/>
      </c>
      <c r="K952" s="25">
        <f>VLOOKUP(D952,Lookups!$A$5:$E$10,4,FALSE)</f>
        <v/>
      </c>
      <c r="L952" s="25">
        <f>E952*K952*(1-F952)</f>
        <v/>
      </c>
      <c r="M952" s="25">
        <f>L952*VLOOKUP(D952,Lookups!$A$5:$E$10,5,FALSE)</f>
        <v/>
      </c>
    </row>
    <row r="953">
      <c r="A953" s="21" t="inlineStr">
        <is>
          <t>INV-11149</t>
        </is>
      </c>
      <c r="B953" s="22" t="n">
        <v>45949</v>
      </c>
      <c r="C953" s="21" t="inlineStr">
        <is>
          <t>R01</t>
        </is>
      </c>
      <c r="D953" s="21" t="inlineStr">
        <is>
          <t>P200</t>
        </is>
      </c>
      <c r="E953" s="21" t="n">
        <v>24</v>
      </c>
      <c r="F953" s="23" t="n">
        <v>0.05</v>
      </c>
      <c r="G953" s="24">
        <f>TEXT(B953,"mmm")</f>
        <v/>
      </c>
      <c r="H953" s="24">
        <f>HLOOKUP(C953,Lookups!$H$4:$K$5,2,FALSE)</f>
        <v/>
      </c>
      <c r="I953" s="24">
        <f>VLOOKUP(D953,Lookups!$A$5:$E$10,2,FALSE)</f>
        <v/>
      </c>
      <c r="J953" s="24">
        <f>VLOOKUP(D953,Lookups!$A$5:$E$10,3,FALSE)</f>
        <v/>
      </c>
      <c r="K953" s="25">
        <f>VLOOKUP(D953,Lookups!$A$5:$E$10,4,FALSE)</f>
        <v/>
      </c>
      <c r="L953" s="25">
        <f>E953*K953*(1-F953)</f>
        <v/>
      </c>
      <c r="M953" s="25">
        <f>L953*VLOOKUP(D953,Lookups!$A$5:$E$10,5,FALSE)</f>
        <v/>
      </c>
    </row>
    <row r="954">
      <c r="A954" s="21" t="inlineStr">
        <is>
          <t>INV-10045</t>
        </is>
      </c>
      <c r="B954" s="22" t="n">
        <v>45950</v>
      </c>
      <c r="C954" s="21" t="inlineStr">
        <is>
          <t>R04</t>
        </is>
      </c>
      <c r="D954" s="21" t="inlineStr">
        <is>
          <t>P500</t>
        </is>
      </c>
      <c r="E954" s="21" t="n">
        <v>8</v>
      </c>
      <c r="F954" s="23" t="n">
        <v>0.1</v>
      </c>
      <c r="G954" s="24">
        <f>TEXT(B954,"mmm")</f>
        <v/>
      </c>
      <c r="H954" s="24">
        <f>HLOOKUP(C954,Lookups!$H$4:$K$5,2,FALSE)</f>
        <v/>
      </c>
      <c r="I954" s="24">
        <f>VLOOKUP(D954,Lookups!$A$5:$E$10,2,FALSE)</f>
        <v/>
      </c>
      <c r="J954" s="24">
        <f>VLOOKUP(D954,Lookups!$A$5:$E$10,3,FALSE)</f>
        <v/>
      </c>
      <c r="K954" s="25">
        <f>VLOOKUP(D954,Lookups!$A$5:$E$10,4,FALSE)</f>
        <v/>
      </c>
      <c r="L954" s="25">
        <f>E954*K954*(1-F954)</f>
        <v/>
      </c>
      <c r="M954" s="25">
        <f>L954*VLOOKUP(D954,Lookups!$A$5:$E$10,5,FALSE)</f>
        <v/>
      </c>
    </row>
    <row r="955">
      <c r="A955" s="21" t="inlineStr">
        <is>
          <t>INV-10204</t>
        </is>
      </c>
      <c r="B955" s="22" t="n">
        <v>45950</v>
      </c>
      <c r="C955" s="21" t="inlineStr">
        <is>
          <t>R02</t>
        </is>
      </c>
      <c r="D955" s="21" t="inlineStr">
        <is>
          <t>P400</t>
        </is>
      </c>
      <c r="E955" s="21" t="n">
        <v>25</v>
      </c>
      <c r="F955" s="23" t="n">
        <v>0.1</v>
      </c>
      <c r="G955" s="24">
        <f>TEXT(B955,"mmm")</f>
        <v/>
      </c>
      <c r="H955" s="24">
        <f>HLOOKUP(C955,Lookups!$H$4:$K$5,2,FALSE)</f>
        <v/>
      </c>
      <c r="I955" s="24">
        <f>VLOOKUP(D955,Lookups!$A$5:$E$10,2,FALSE)</f>
        <v/>
      </c>
      <c r="J955" s="24">
        <f>VLOOKUP(D955,Lookups!$A$5:$E$10,3,FALSE)</f>
        <v/>
      </c>
      <c r="K955" s="25">
        <f>VLOOKUP(D955,Lookups!$A$5:$E$10,4,FALSE)</f>
        <v/>
      </c>
      <c r="L955" s="25">
        <f>E955*K955*(1-F955)</f>
        <v/>
      </c>
      <c r="M955" s="25">
        <f>L955*VLOOKUP(D955,Lookups!$A$5:$E$10,5,FALSE)</f>
        <v/>
      </c>
    </row>
    <row r="956">
      <c r="A956" s="21" t="inlineStr">
        <is>
          <t>INV-10402</t>
        </is>
      </c>
      <c r="B956" s="22" t="n">
        <v>45950</v>
      </c>
      <c r="C956" s="21" t="inlineStr">
        <is>
          <t>R01</t>
        </is>
      </c>
      <c r="D956" s="21" t="inlineStr">
        <is>
          <t>P400</t>
        </is>
      </c>
      <c r="E956" s="21" t="n">
        <v>16</v>
      </c>
      <c r="F956" s="23" t="n">
        <v>0.05</v>
      </c>
      <c r="G956" s="24">
        <f>TEXT(B956,"mmm")</f>
        <v/>
      </c>
      <c r="H956" s="24">
        <f>HLOOKUP(C956,Lookups!$H$4:$K$5,2,FALSE)</f>
        <v/>
      </c>
      <c r="I956" s="24">
        <f>VLOOKUP(D956,Lookups!$A$5:$E$10,2,FALSE)</f>
        <v/>
      </c>
      <c r="J956" s="24">
        <f>VLOOKUP(D956,Lookups!$A$5:$E$10,3,FALSE)</f>
        <v/>
      </c>
      <c r="K956" s="25">
        <f>VLOOKUP(D956,Lookups!$A$5:$E$10,4,FALSE)</f>
        <v/>
      </c>
      <c r="L956" s="25">
        <f>E956*K956*(1-F956)</f>
        <v/>
      </c>
      <c r="M956" s="25">
        <f>L956*VLOOKUP(D956,Lookups!$A$5:$E$10,5,FALSE)</f>
        <v/>
      </c>
    </row>
    <row r="957">
      <c r="A957" s="21" t="inlineStr">
        <is>
          <t>INV-10679</t>
        </is>
      </c>
      <c r="B957" s="22" t="n">
        <v>45950</v>
      </c>
      <c r="C957" s="21" t="inlineStr">
        <is>
          <t>R01</t>
        </is>
      </c>
      <c r="D957" s="21" t="inlineStr">
        <is>
          <t>P300</t>
        </is>
      </c>
      <c r="E957" s="21" t="n">
        <v>17</v>
      </c>
      <c r="F957" s="23" t="n">
        <v>0</v>
      </c>
      <c r="G957" s="24">
        <f>TEXT(B957,"mmm")</f>
        <v/>
      </c>
      <c r="H957" s="24">
        <f>HLOOKUP(C957,Lookups!$H$4:$K$5,2,FALSE)</f>
        <v/>
      </c>
      <c r="I957" s="24">
        <f>VLOOKUP(D957,Lookups!$A$5:$E$10,2,FALSE)</f>
        <v/>
      </c>
      <c r="J957" s="24">
        <f>VLOOKUP(D957,Lookups!$A$5:$E$10,3,FALSE)</f>
        <v/>
      </c>
      <c r="K957" s="25">
        <f>VLOOKUP(D957,Lookups!$A$5:$E$10,4,FALSE)</f>
        <v/>
      </c>
      <c r="L957" s="25">
        <f>E957*K957*(1-F957)</f>
        <v/>
      </c>
      <c r="M957" s="25">
        <f>L957*VLOOKUP(D957,Lookups!$A$5:$E$10,5,FALSE)</f>
        <v/>
      </c>
    </row>
    <row r="958">
      <c r="A958" s="21" t="inlineStr">
        <is>
          <t>INV-10779</t>
        </is>
      </c>
      <c r="B958" s="22" t="n">
        <v>45950</v>
      </c>
      <c r="C958" s="21" t="inlineStr">
        <is>
          <t>R04</t>
        </is>
      </c>
      <c r="D958" s="21" t="inlineStr">
        <is>
          <t>P500</t>
        </is>
      </c>
      <c r="E958" s="21" t="n">
        <v>2</v>
      </c>
      <c r="F958" s="23" t="n">
        <v>0</v>
      </c>
      <c r="G958" s="24">
        <f>TEXT(B958,"mmm")</f>
        <v/>
      </c>
      <c r="H958" s="24">
        <f>HLOOKUP(C958,Lookups!$H$4:$K$5,2,FALSE)</f>
        <v/>
      </c>
      <c r="I958" s="24">
        <f>VLOOKUP(D958,Lookups!$A$5:$E$10,2,FALSE)</f>
        <v/>
      </c>
      <c r="J958" s="24">
        <f>VLOOKUP(D958,Lookups!$A$5:$E$10,3,FALSE)</f>
        <v/>
      </c>
      <c r="K958" s="25">
        <f>VLOOKUP(D958,Lookups!$A$5:$E$10,4,FALSE)</f>
        <v/>
      </c>
      <c r="L958" s="25">
        <f>E958*K958*(1-F958)</f>
        <v/>
      </c>
      <c r="M958" s="25">
        <f>L958*VLOOKUP(D958,Lookups!$A$5:$E$10,5,FALSE)</f>
        <v/>
      </c>
    </row>
    <row r="959">
      <c r="A959" s="21" t="inlineStr">
        <is>
          <t>INV-10161</t>
        </is>
      </c>
      <c r="B959" s="22" t="n">
        <v>45951</v>
      </c>
      <c r="C959" s="21" t="inlineStr">
        <is>
          <t>R04</t>
        </is>
      </c>
      <c r="D959" s="21" t="inlineStr">
        <is>
          <t>P300</t>
        </is>
      </c>
      <c r="E959" s="21" t="n">
        <v>16</v>
      </c>
      <c r="F959" s="23" t="n">
        <v>0.1</v>
      </c>
      <c r="G959" s="24">
        <f>TEXT(B959,"mmm")</f>
        <v/>
      </c>
      <c r="H959" s="24">
        <f>HLOOKUP(C959,Lookups!$H$4:$K$5,2,FALSE)</f>
        <v/>
      </c>
      <c r="I959" s="24">
        <f>VLOOKUP(D959,Lookups!$A$5:$E$10,2,FALSE)</f>
        <v/>
      </c>
      <c r="J959" s="24">
        <f>VLOOKUP(D959,Lookups!$A$5:$E$10,3,FALSE)</f>
        <v/>
      </c>
      <c r="K959" s="25">
        <f>VLOOKUP(D959,Lookups!$A$5:$E$10,4,FALSE)</f>
        <v/>
      </c>
      <c r="L959" s="25">
        <f>E959*K959*(1-F959)</f>
        <v/>
      </c>
      <c r="M959" s="25">
        <f>L959*VLOOKUP(D959,Lookups!$A$5:$E$10,5,FALSE)</f>
        <v/>
      </c>
    </row>
    <row r="960">
      <c r="A960" s="21" t="inlineStr">
        <is>
          <t>INV-10298</t>
        </is>
      </c>
      <c r="B960" s="22" t="n">
        <v>45951</v>
      </c>
      <c r="C960" s="21" t="inlineStr">
        <is>
          <t>R04</t>
        </is>
      </c>
      <c r="D960" s="21" t="inlineStr">
        <is>
          <t>P400</t>
        </is>
      </c>
      <c r="E960" s="21" t="n">
        <v>10</v>
      </c>
      <c r="F960" s="23" t="n">
        <v>0</v>
      </c>
      <c r="G960" s="24">
        <f>TEXT(B960,"mmm")</f>
        <v/>
      </c>
      <c r="H960" s="24">
        <f>HLOOKUP(C960,Lookups!$H$4:$K$5,2,FALSE)</f>
        <v/>
      </c>
      <c r="I960" s="24">
        <f>VLOOKUP(D960,Lookups!$A$5:$E$10,2,FALSE)</f>
        <v/>
      </c>
      <c r="J960" s="24">
        <f>VLOOKUP(D960,Lookups!$A$5:$E$10,3,FALSE)</f>
        <v/>
      </c>
      <c r="K960" s="25">
        <f>VLOOKUP(D960,Lookups!$A$5:$E$10,4,FALSE)</f>
        <v/>
      </c>
      <c r="L960" s="25">
        <f>E960*K960*(1-F960)</f>
        <v/>
      </c>
      <c r="M960" s="25">
        <f>L960*VLOOKUP(D960,Lookups!$A$5:$E$10,5,FALSE)</f>
        <v/>
      </c>
    </row>
    <row r="961">
      <c r="A961" s="21" t="inlineStr">
        <is>
          <t>INV-10379</t>
        </is>
      </c>
      <c r="B961" s="22" t="n">
        <v>45951</v>
      </c>
      <c r="C961" s="21" t="inlineStr">
        <is>
          <t>R03</t>
        </is>
      </c>
      <c r="D961" s="21" t="inlineStr">
        <is>
          <t>P200</t>
        </is>
      </c>
      <c r="E961" s="21" t="n">
        <v>13</v>
      </c>
      <c r="F961" s="23" t="n">
        <v>0.05</v>
      </c>
      <c r="G961" s="24">
        <f>TEXT(B961,"mmm")</f>
        <v/>
      </c>
      <c r="H961" s="24">
        <f>HLOOKUP(C961,Lookups!$H$4:$K$5,2,FALSE)</f>
        <v/>
      </c>
      <c r="I961" s="24">
        <f>VLOOKUP(D961,Lookups!$A$5:$E$10,2,FALSE)</f>
        <v/>
      </c>
      <c r="J961" s="24">
        <f>VLOOKUP(D961,Lookups!$A$5:$E$10,3,FALSE)</f>
        <v/>
      </c>
      <c r="K961" s="25">
        <f>VLOOKUP(D961,Lookups!$A$5:$E$10,4,FALSE)</f>
        <v/>
      </c>
      <c r="L961" s="25">
        <f>E961*K961*(1-F961)</f>
        <v/>
      </c>
      <c r="M961" s="25">
        <f>L961*VLOOKUP(D961,Lookups!$A$5:$E$10,5,FALSE)</f>
        <v/>
      </c>
    </row>
    <row r="962">
      <c r="A962" s="21" t="inlineStr">
        <is>
          <t>INV-10444</t>
        </is>
      </c>
      <c r="B962" s="22" t="n">
        <v>45951</v>
      </c>
      <c r="C962" s="21" t="inlineStr">
        <is>
          <t>R04</t>
        </is>
      </c>
      <c r="D962" s="21" t="inlineStr">
        <is>
          <t>P600</t>
        </is>
      </c>
      <c r="E962" s="21" t="n">
        <v>13</v>
      </c>
      <c r="F962" s="23" t="n">
        <v>0.05</v>
      </c>
      <c r="G962" s="24">
        <f>TEXT(B962,"mmm")</f>
        <v/>
      </c>
      <c r="H962" s="24">
        <f>HLOOKUP(C962,Lookups!$H$4:$K$5,2,FALSE)</f>
        <v/>
      </c>
      <c r="I962" s="24">
        <f>VLOOKUP(D962,Lookups!$A$5:$E$10,2,FALSE)</f>
        <v/>
      </c>
      <c r="J962" s="24">
        <f>VLOOKUP(D962,Lookups!$A$5:$E$10,3,FALSE)</f>
        <v/>
      </c>
      <c r="K962" s="25">
        <f>VLOOKUP(D962,Lookups!$A$5:$E$10,4,FALSE)</f>
        <v/>
      </c>
      <c r="L962" s="25">
        <f>E962*K962*(1-F962)</f>
        <v/>
      </c>
      <c r="M962" s="25">
        <f>L962*VLOOKUP(D962,Lookups!$A$5:$E$10,5,FALSE)</f>
        <v/>
      </c>
    </row>
    <row r="963">
      <c r="A963" s="21" t="inlineStr">
        <is>
          <t>INV-10613</t>
        </is>
      </c>
      <c r="B963" s="22" t="n">
        <v>45951</v>
      </c>
      <c r="C963" s="21" t="inlineStr">
        <is>
          <t>R03</t>
        </is>
      </c>
      <c r="D963" s="21" t="inlineStr">
        <is>
          <t>P100</t>
        </is>
      </c>
      <c r="E963" s="21" t="n">
        <v>25</v>
      </c>
      <c r="F963" s="23" t="n">
        <v>0.05</v>
      </c>
      <c r="G963" s="24">
        <f>TEXT(B963,"mmm")</f>
        <v/>
      </c>
      <c r="H963" s="24">
        <f>HLOOKUP(C963,Lookups!$H$4:$K$5,2,FALSE)</f>
        <v/>
      </c>
      <c r="I963" s="24">
        <f>VLOOKUP(D963,Lookups!$A$5:$E$10,2,FALSE)</f>
        <v/>
      </c>
      <c r="J963" s="24">
        <f>VLOOKUP(D963,Lookups!$A$5:$E$10,3,FALSE)</f>
        <v/>
      </c>
      <c r="K963" s="25">
        <f>VLOOKUP(D963,Lookups!$A$5:$E$10,4,FALSE)</f>
        <v/>
      </c>
      <c r="L963" s="25">
        <f>E963*K963*(1-F963)</f>
        <v/>
      </c>
      <c r="M963" s="25">
        <f>L963*VLOOKUP(D963,Lookups!$A$5:$E$10,5,FALSE)</f>
        <v/>
      </c>
    </row>
    <row r="964">
      <c r="A964" s="21" t="inlineStr">
        <is>
          <t>INV-10768</t>
        </is>
      </c>
      <c r="B964" s="22" t="n">
        <v>45951</v>
      </c>
      <c r="C964" s="21" t="inlineStr">
        <is>
          <t>R04</t>
        </is>
      </c>
      <c r="D964" s="21" t="inlineStr">
        <is>
          <t>P200</t>
        </is>
      </c>
      <c r="E964" s="21" t="n">
        <v>10</v>
      </c>
      <c r="F964" s="23" t="n">
        <v>0</v>
      </c>
      <c r="G964" s="24">
        <f>TEXT(B964,"mmm")</f>
        <v/>
      </c>
      <c r="H964" s="24">
        <f>HLOOKUP(C964,Lookups!$H$4:$K$5,2,FALSE)</f>
        <v/>
      </c>
      <c r="I964" s="24">
        <f>VLOOKUP(D964,Lookups!$A$5:$E$10,2,FALSE)</f>
        <v/>
      </c>
      <c r="J964" s="24">
        <f>VLOOKUP(D964,Lookups!$A$5:$E$10,3,FALSE)</f>
        <v/>
      </c>
      <c r="K964" s="25">
        <f>VLOOKUP(D964,Lookups!$A$5:$E$10,4,FALSE)</f>
        <v/>
      </c>
      <c r="L964" s="25">
        <f>E964*K964*(1-F964)</f>
        <v/>
      </c>
      <c r="M964" s="25">
        <f>L964*VLOOKUP(D964,Lookups!$A$5:$E$10,5,FALSE)</f>
        <v/>
      </c>
    </row>
    <row r="965">
      <c r="A965" s="21" t="inlineStr">
        <is>
          <t>INV-11191</t>
        </is>
      </c>
      <c r="B965" s="22" t="n">
        <v>45951</v>
      </c>
      <c r="C965" s="21" t="inlineStr">
        <is>
          <t>R04</t>
        </is>
      </c>
      <c r="D965" s="21" t="inlineStr">
        <is>
          <t>P200</t>
        </is>
      </c>
      <c r="E965" s="21" t="n">
        <v>10</v>
      </c>
      <c r="F965" s="23" t="n">
        <v>0.05</v>
      </c>
      <c r="G965" s="24">
        <f>TEXT(B965,"mmm")</f>
        <v/>
      </c>
      <c r="H965" s="24">
        <f>HLOOKUP(C965,Lookups!$H$4:$K$5,2,FALSE)</f>
        <v/>
      </c>
      <c r="I965" s="24">
        <f>VLOOKUP(D965,Lookups!$A$5:$E$10,2,FALSE)</f>
        <v/>
      </c>
      <c r="J965" s="24">
        <f>VLOOKUP(D965,Lookups!$A$5:$E$10,3,FALSE)</f>
        <v/>
      </c>
      <c r="K965" s="25">
        <f>VLOOKUP(D965,Lookups!$A$5:$E$10,4,FALSE)</f>
        <v/>
      </c>
      <c r="L965" s="25">
        <f>E965*K965*(1-F965)</f>
        <v/>
      </c>
      <c r="M965" s="25">
        <f>L965*VLOOKUP(D965,Lookups!$A$5:$E$10,5,FALSE)</f>
        <v/>
      </c>
    </row>
    <row r="966">
      <c r="A966" s="21" t="inlineStr">
        <is>
          <t>INV-10392</t>
        </is>
      </c>
      <c r="B966" s="22" t="n">
        <v>45952</v>
      </c>
      <c r="C966" s="21" t="inlineStr">
        <is>
          <t>R02</t>
        </is>
      </c>
      <c r="D966" s="21" t="inlineStr">
        <is>
          <t>P100</t>
        </is>
      </c>
      <c r="E966" s="21" t="n">
        <v>11</v>
      </c>
      <c r="F966" s="23" t="n">
        <v>0</v>
      </c>
      <c r="G966" s="24">
        <f>TEXT(B966,"mmm")</f>
        <v/>
      </c>
      <c r="H966" s="24">
        <f>HLOOKUP(C966,Lookups!$H$4:$K$5,2,FALSE)</f>
        <v/>
      </c>
      <c r="I966" s="24">
        <f>VLOOKUP(D966,Lookups!$A$5:$E$10,2,FALSE)</f>
        <v/>
      </c>
      <c r="J966" s="24">
        <f>VLOOKUP(D966,Lookups!$A$5:$E$10,3,FALSE)</f>
        <v/>
      </c>
      <c r="K966" s="25">
        <f>VLOOKUP(D966,Lookups!$A$5:$E$10,4,FALSE)</f>
        <v/>
      </c>
      <c r="L966" s="25">
        <f>E966*K966*(1-F966)</f>
        <v/>
      </c>
      <c r="M966" s="25">
        <f>L966*VLOOKUP(D966,Lookups!$A$5:$E$10,5,FALSE)</f>
        <v/>
      </c>
    </row>
    <row r="967">
      <c r="A967" s="21" t="inlineStr">
        <is>
          <t>INV-10568</t>
        </is>
      </c>
      <c r="B967" s="22" t="n">
        <v>45952</v>
      </c>
      <c r="C967" s="21" t="inlineStr">
        <is>
          <t>R03</t>
        </is>
      </c>
      <c r="D967" s="21" t="inlineStr">
        <is>
          <t>P200</t>
        </is>
      </c>
      <c r="E967" s="21" t="n">
        <v>13</v>
      </c>
      <c r="F967" s="23" t="n">
        <v>0.05</v>
      </c>
      <c r="G967" s="24">
        <f>TEXT(B967,"mmm")</f>
        <v/>
      </c>
      <c r="H967" s="24">
        <f>HLOOKUP(C967,Lookups!$H$4:$K$5,2,FALSE)</f>
        <v/>
      </c>
      <c r="I967" s="24">
        <f>VLOOKUP(D967,Lookups!$A$5:$E$10,2,FALSE)</f>
        <v/>
      </c>
      <c r="J967" s="24">
        <f>VLOOKUP(D967,Lookups!$A$5:$E$10,3,FALSE)</f>
        <v/>
      </c>
      <c r="K967" s="25">
        <f>VLOOKUP(D967,Lookups!$A$5:$E$10,4,FALSE)</f>
        <v/>
      </c>
      <c r="L967" s="25">
        <f>E967*K967*(1-F967)</f>
        <v/>
      </c>
      <c r="M967" s="25">
        <f>L967*VLOOKUP(D967,Lookups!$A$5:$E$10,5,FALSE)</f>
        <v/>
      </c>
    </row>
    <row r="968">
      <c r="A968" s="21" t="inlineStr">
        <is>
          <t>INV-10603</t>
        </is>
      </c>
      <c r="B968" s="22" t="n">
        <v>45952</v>
      </c>
      <c r="C968" s="21" t="inlineStr">
        <is>
          <t>R04</t>
        </is>
      </c>
      <c r="D968" s="21" t="inlineStr">
        <is>
          <t>P400</t>
        </is>
      </c>
      <c r="E968" s="21" t="n">
        <v>6</v>
      </c>
      <c r="F968" s="23" t="n">
        <v>0.1</v>
      </c>
      <c r="G968" s="24">
        <f>TEXT(B968,"mmm")</f>
        <v/>
      </c>
      <c r="H968" s="24">
        <f>HLOOKUP(C968,Lookups!$H$4:$K$5,2,FALSE)</f>
        <v/>
      </c>
      <c r="I968" s="24">
        <f>VLOOKUP(D968,Lookups!$A$5:$E$10,2,FALSE)</f>
        <v/>
      </c>
      <c r="J968" s="24">
        <f>VLOOKUP(D968,Lookups!$A$5:$E$10,3,FALSE)</f>
        <v/>
      </c>
      <c r="K968" s="25">
        <f>VLOOKUP(D968,Lookups!$A$5:$E$10,4,FALSE)</f>
        <v/>
      </c>
      <c r="L968" s="25">
        <f>E968*K968*(1-F968)</f>
        <v/>
      </c>
      <c r="M968" s="25">
        <f>L968*VLOOKUP(D968,Lookups!$A$5:$E$10,5,FALSE)</f>
        <v/>
      </c>
    </row>
    <row r="969">
      <c r="A969" s="21" t="inlineStr">
        <is>
          <t>INV-11020</t>
        </is>
      </c>
      <c r="B969" s="22" t="n">
        <v>45952</v>
      </c>
      <c r="C969" s="21" t="inlineStr">
        <is>
          <t>R03</t>
        </is>
      </c>
      <c r="D969" s="21" t="inlineStr">
        <is>
          <t>P100</t>
        </is>
      </c>
      <c r="E969" s="21" t="n">
        <v>6</v>
      </c>
      <c r="F969" s="23" t="n">
        <v>0.1</v>
      </c>
      <c r="G969" s="24">
        <f>TEXT(B969,"mmm")</f>
        <v/>
      </c>
      <c r="H969" s="24">
        <f>HLOOKUP(C969,Lookups!$H$4:$K$5,2,FALSE)</f>
        <v/>
      </c>
      <c r="I969" s="24">
        <f>VLOOKUP(D969,Lookups!$A$5:$E$10,2,FALSE)</f>
        <v/>
      </c>
      <c r="J969" s="24">
        <f>VLOOKUP(D969,Lookups!$A$5:$E$10,3,FALSE)</f>
        <v/>
      </c>
      <c r="K969" s="25">
        <f>VLOOKUP(D969,Lookups!$A$5:$E$10,4,FALSE)</f>
        <v/>
      </c>
      <c r="L969" s="25">
        <f>E969*K969*(1-F969)</f>
        <v/>
      </c>
      <c r="M969" s="25">
        <f>L969*VLOOKUP(D969,Lookups!$A$5:$E$10,5,FALSE)</f>
        <v/>
      </c>
    </row>
    <row r="970">
      <c r="A970" s="21" t="inlineStr">
        <is>
          <t>INV-11048</t>
        </is>
      </c>
      <c r="B970" s="22" t="n">
        <v>45952</v>
      </c>
      <c r="C970" s="21" t="inlineStr">
        <is>
          <t>R02</t>
        </is>
      </c>
      <c r="D970" s="21" t="inlineStr">
        <is>
          <t>P600</t>
        </is>
      </c>
      <c r="E970" s="21" t="n">
        <v>4</v>
      </c>
      <c r="F970" s="23" t="n">
        <v>0.05</v>
      </c>
      <c r="G970" s="24">
        <f>TEXT(B970,"mmm")</f>
        <v/>
      </c>
      <c r="H970" s="24">
        <f>HLOOKUP(C970,Lookups!$H$4:$K$5,2,FALSE)</f>
        <v/>
      </c>
      <c r="I970" s="24">
        <f>VLOOKUP(D970,Lookups!$A$5:$E$10,2,FALSE)</f>
        <v/>
      </c>
      <c r="J970" s="24">
        <f>VLOOKUP(D970,Lookups!$A$5:$E$10,3,FALSE)</f>
        <v/>
      </c>
      <c r="K970" s="25">
        <f>VLOOKUP(D970,Lookups!$A$5:$E$10,4,FALSE)</f>
        <v/>
      </c>
      <c r="L970" s="25">
        <f>E970*K970*(1-F970)</f>
        <v/>
      </c>
      <c r="M970" s="25">
        <f>L970*VLOOKUP(D970,Lookups!$A$5:$E$10,5,FALSE)</f>
        <v/>
      </c>
    </row>
    <row r="971">
      <c r="A971" s="21" t="inlineStr">
        <is>
          <t>INV-10012</t>
        </is>
      </c>
      <c r="B971" s="22" t="n">
        <v>45953</v>
      </c>
      <c r="C971" s="21" t="inlineStr">
        <is>
          <t>R01</t>
        </is>
      </c>
      <c r="D971" s="21" t="inlineStr">
        <is>
          <t>P200</t>
        </is>
      </c>
      <c r="E971" s="21" t="n">
        <v>2</v>
      </c>
      <c r="F971" s="23" t="n">
        <v>0</v>
      </c>
      <c r="G971" s="24">
        <f>TEXT(B971,"mmm")</f>
        <v/>
      </c>
      <c r="H971" s="24">
        <f>HLOOKUP(C971,Lookups!$H$4:$K$5,2,FALSE)</f>
        <v/>
      </c>
      <c r="I971" s="24">
        <f>VLOOKUP(D971,Lookups!$A$5:$E$10,2,FALSE)</f>
        <v/>
      </c>
      <c r="J971" s="24">
        <f>VLOOKUP(D971,Lookups!$A$5:$E$10,3,FALSE)</f>
        <v/>
      </c>
      <c r="K971" s="25">
        <f>VLOOKUP(D971,Lookups!$A$5:$E$10,4,FALSE)</f>
        <v/>
      </c>
      <c r="L971" s="25">
        <f>E971*K971*(1-F971)</f>
        <v/>
      </c>
      <c r="M971" s="25">
        <f>L971*VLOOKUP(D971,Lookups!$A$5:$E$10,5,FALSE)</f>
        <v/>
      </c>
    </row>
    <row r="972">
      <c r="A972" s="21" t="inlineStr">
        <is>
          <t>INV-10164</t>
        </is>
      </c>
      <c r="B972" s="22" t="n">
        <v>45953</v>
      </c>
      <c r="C972" s="21" t="inlineStr">
        <is>
          <t>R01</t>
        </is>
      </c>
      <c r="D972" s="21" t="inlineStr">
        <is>
          <t>P600</t>
        </is>
      </c>
      <c r="E972" s="21" t="n">
        <v>5</v>
      </c>
      <c r="F972" s="23" t="n">
        <v>0</v>
      </c>
      <c r="G972" s="24">
        <f>TEXT(B972,"mmm")</f>
        <v/>
      </c>
      <c r="H972" s="24">
        <f>HLOOKUP(C972,Lookups!$H$4:$K$5,2,FALSE)</f>
        <v/>
      </c>
      <c r="I972" s="24">
        <f>VLOOKUP(D972,Lookups!$A$5:$E$10,2,FALSE)</f>
        <v/>
      </c>
      <c r="J972" s="24">
        <f>VLOOKUP(D972,Lookups!$A$5:$E$10,3,FALSE)</f>
        <v/>
      </c>
      <c r="K972" s="25">
        <f>VLOOKUP(D972,Lookups!$A$5:$E$10,4,FALSE)</f>
        <v/>
      </c>
      <c r="L972" s="25">
        <f>E972*K972*(1-F972)</f>
        <v/>
      </c>
      <c r="M972" s="25">
        <f>L972*VLOOKUP(D972,Lookups!$A$5:$E$10,5,FALSE)</f>
        <v/>
      </c>
    </row>
    <row r="973">
      <c r="A973" s="21" t="inlineStr">
        <is>
          <t>INV-10182</t>
        </is>
      </c>
      <c r="B973" s="22" t="n">
        <v>45953</v>
      </c>
      <c r="C973" s="21" t="inlineStr">
        <is>
          <t>R02</t>
        </is>
      </c>
      <c r="D973" s="21" t="inlineStr">
        <is>
          <t>P100</t>
        </is>
      </c>
      <c r="E973" s="21" t="n">
        <v>16</v>
      </c>
      <c r="F973" s="23" t="n">
        <v>0.1</v>
      </c>
      <c r="G973" s="24">
        <f>TEXT(B973,"mmm")</f>
        <v/>
      </c>
      <c r="H973" s="24">
        <f>HLOOKUP(C973,Lookups!$H$4:$K$5,2,FALSE)</f>
        <v/>
      </c>
      <c r="I973" s="24">
        <f>VLOOKUP(D973,Lookups!$A$5:$E$10,2,FALSE)</f>
        <v/>
      </c>
      <c r="J973" s="24">
        <f>VLOOKUP(D973,Lookups!$A$5:$E$10,3,FALSE)</f>
        <v/>
      </c>
      <c r="K973" s="25">
        <f>VLOOKUP(D973,Lookups!$A$5:$E$10,4,FALSE)</f>
        <v/>
      </c>
      <c r="L973" s="25">
        <f>E973*K973*(1-F973)</f>
        <v/>
      </c>
      <c r="M973" s="25">
        <f>L973*VLOOKUP(D973,Lookups!$A$5:$E$10,5,FALSE)</f>
        <v/>
      </c>
    </row>
    <row r="974">
      <c r="A974" s="21" t="inlineStr">
        <is>
          <t>INV-10277</t>
        </is>
      </c>
      <c r="B974" s="22" t="n">
        <v>45953</v>
      </c>
      <c r="C974" s="21" t="inlineStr">
        <is>
          <t>R02</t>
        </is>
      </c>
      <c r="D974" s="21" t="inlineStr">
        <is>
          <t>P500</t>
        </is>
      </c>
      <c r="E974" s="21" t="n">
        <v>5</v>
      </c>
      <c r="F974" s="23" t="n">
        <v>0.1</v>
      </c>
      <c r="G974" s="24">
        <f>TEXT(B974,"mmm")</f>
        <v/>
      </c>
      <c r="H974" s="24">
        <f>HLOOKUP(C974,Lookups!$H$4:$K$5,2,FALSE)</f>
        <v/>
      </c>
      <c r="I974" s="24">
        <f>VLOOKUP(D974,Lookups!$A$5:$E$10,2,FALSE)</f>
        <v/>
      </c>
      <c r="J974" s="24">
        <f>VLOOKUP(D974,Lookups!$A$5:$E$10,3,FALSE)</f>
        <v/>
      </c>
      <c r="K974" s="25">
        <f>VLOOKUP(D974,Lookups!$A$5:$E$10,4,FALSE)</f>
        <v/>
      </c>
      <c r="L974" s="25">
        <f>E974*K974*(1-F974)</f>
        <v/>
      </c>
      <c r="M974" s="25">
        <f>L974*VLOOKUP(D974,Lookups!$A$5:$E$10,5,FALSE)</f>
        <v/>
      </c>
    </row>
    <row r="975">
      <c r="A975" s="21" t="inlineStr">
        <is>
          <t>INV-10412</t>
        </is>
      </c>
      <c r="B975" s="22" t="n">
        <v>45953</v>
      </c>
      <c r="C975" s="21" t="inlineStr">
        <is>
          <t>R03</t>
        </is>
      </c>
      <c r="D975" s="21" t="inlineStr">
        <is>
          <t>P600</t>
        </is>
      </c>
      <c r="E975" s="21" t="n">
        <v>7</v>
      </c>
      <c r="F975" s="23" t="n">
        <v>0</v>
      </c>
      <c r="G975" s="24">
        <f>TEXT(B975,"mmm")</f>
        <v/>
      </c>
      <c r="H975" s="24">
        <f>HLOOKUP(C975,Lookups!$H$4:$K$5,2,FALSE)</f>
        <v/>
      </c>
      <c r="I975" s="24">
        <f>VLOOKUP(D975,Lookups!$A$5:$E$10,2,FALSE)</f>
        <v/>
      </c>
      <c r="J975" s="24">
        <f>VLOOKUP(D975,Lookups!$A$5:$E$10,3,FALSE)</f>
        <v/>
      </c>
      <c r="K975" s="25">
        <f>VLOOKUP(D975,Lookups!$A$5:$E$10,4,FALSE)</f>
        <v/>
      </c>
      <c r="L975" s="25">
        <f>E975*K975*(1-F975)</f>
        <v/>
      </c>
      <c r="M975" s="25">
        <f>L975*VLOOKUP(D975,Lookups!$A$5:$E$10,5,FALSE)</f>
        <v/>
      </c>
    </row>
    <row r="976">
      <c r="A976" s="21" t="inlineStr">
        <is>
          <t>INV-10497</t>
        </is>
      </c>
      <c r="B976" s="22" t="n">
        <v>45953</v>
      </c>
      <c r="C976" s="21" t="inlineStr">
        <is>
          <t>R03</t>
        </is>
      </c>
      <c r="D976" s="21" t="inlineStr">
        <is>
          <t>P500</t>
        </is>
      </c>
      <c r="E976" s="21" t="n">
        <v>8</v>
      </c>
      <c r="F976" s="23" t="n">
        <v>0.05</v>
      </c>
      <c r="G976" s="24">
        <f>TEXT(B976,"mmm")</f>
        <v/>
      </c>
      <c r="H976" s="24">
        <f>HLOOKUP(C976,Lookups!$H$4:$K$5,2,FALSE)</f>
        <v/>
      </c>
      <c r="I976" s="24">
        <f>VLOOKUP(D976,Lookups!$A$5:$E$10,2,FALSE)</f>
        <v/>
      </c>
      <c r="J976" s="24">
        <f>VLOOKUP(D976,Lookups!$A$5:$E$10,3,FALSE)</f>
        <v/>
      </c>
      <c r="K976" s="25">
        <f>VLOOKUP(D976,Lookups!$A$5:$E$10,4,FALSE)</f>
        <v/>
      </c>
      <c r="L976" s="25">
        <f>E976*K976*(1-F976)</f>
        <v/>
      </c>
      <c r="M976" s="25">
        <f>L976*VLOOKUP(D976,Lookups!$A$5:$E$10,5,FALSE)</f>
        <v/>
      </c>
    </row>
    <row r="977">
      <c r="A977" s="21" t="inlineStr">
        <is>
          <t>INV-10625</t>
        </is>
      </c>
      <c r="B977" s="22" t="n">
        <v>45953</v>
      </c>
      <c r="C977" s="21" t="inlineStr">
        <is>
          <t>R03</t>
        </is>
      </c>
      <c r="D977" s="21" t="inlineStr">
        <is>
          <t>P600</t>
        </is>
      </c>
      <c r="E977" s="21" t="n">
        <v>21</v>
      </c>
      <c r="F977" s="23" t="n">
        <v>0.1</v>
      </c>
      <c r="G977" s="24">
        <f>TEXT(B977,"mmm")</f>
        <v/>
      </c>
      <c r="H977" s="24">
        <f>HLOOKUP(C977,Lookups!$H$4:$K$5,2,FALSE)</f>
        <v/>
      </c>
      <c r="I977" s="24">
        <f>VLOOKUP(D977,Lookups!$A$5:$E$10,2,FALSE)</f>
        <v/>
      </c>
      <c r="J977" s="24">
        <f>VLOOKUP(D977,Lookups!$A$5:$E$10,3,FALSE)</f>
        <v/>
      </c>
      <c r="K977" s="25">
        <f>VLOOKUP(D977,Lookups!$A$5:$E$10,4,FALSE)</f>
        <v/>
      </c>
      <c r="L977" s="25">
        <f>E977*K977*(1-F977)</f>
        <v/>
      </c>
      <c r="M977" s="25">
        <f>L977*VLOOKUP(D977,Lookups!$A$5:$E$10,5,FALSE)</f>
        <v/>
      </c>
    </row>
    <row r="978">
      <c r="A978" s="21" t="inlineStr">
        <is>
          <t>INV-10826</t>
        </is>
      </c>
      <c r="B978" s="22" t="n">
        <v>45953</v>
      </c>
      <c r="C978" s="21" t="inlineStr">
        <is>
          <t>R04</t>
        </is>
      </c>
      <c r="D978" s="21" t="inlineStr">
        <is>
          <t>P200</t>
        </is>
      </c>
      <c r="E978" s="21" t="n">
        <v>25</v>
      </c>
      <c r="F978" s="23" t="n">
        <v>0</v>
      </c>
      <c r="G978" s="24">
        <f>TEXT(B978,"mmm")</f>
        <v/>
      </c>
      <c r="H978" s="24">
        <f>HLOOKUP(C978,Lookups!$H$4:$K$5,2,FALSE)</f>
        <v/>
      </c>
      <c r="I978" s="24">
        <f>VLOOKUP(D978,Lookups!$A$5:$E$10,2,FALSE)</f>
        <v/>
      </c>
      <c r="J978" s="24">
        <f>VLOOKUP(D978,Lookups!$A$5:$E$10,3,FALSE)</f>
        <v/>
      </c>
      <c r="K978" s="25">
        <f>VLOOKUP(D978,Lookups!$A$5:$E$10,4,FALSE)</f>
        <v/>
      </c>
      <c r="L978" s="25">
        <f>E978*K978*(1-F978)</f>
        <v/>
      </c>
      <c r="M978" s="25">
        <f>L978*VLOOKUP(D978,Lookups!$A$5:$E$10,5,FALSE)</f>
        <v/>
      </c>
    </row>
    <row r="979">
      <c r="A979" s="21" t="inlineStr">
        <is>
          <t>INV-11004</t>
        </is>
      </c>
      <c r="B979" s="22" t="n">
        <v>45953</v>
      </c>
      <c r="C979" s="21" t="inlineStr">
        <is>
          <t>R04</t>
        </is>
      </c>
      <c r="D979" s="21" t="inlineStr">
        <is>
          <t>P300</t>
        </is>
      </c>
      <c r="E979" s="21" t="n">
        <v>24</v>
      </c>
      <c r="F979" s="23" t="n">
        <v>0</v>
      </c>
      <c r="G979" s="24">
        <f>TEXT(B979,"mmm")</f>
        <v/>
      </c>
      <c r="H979" s="24">
        <f>HLOOKUP(C979,Lookups!$H$4:$K$5,2,FALSE)</f>
        <v/>
      </c>
      <c r="I979" s="24">
        <f>VLOOKUP(D979,Lookups!$A$5:$E$10,2,FALSE)</f>
        <v/>
      </c>
      <c r="J979" s="24">
        <f>VLOOKUP(D979,Lookups!$A$5:$E$10,3,FALSE)</f>
        <v/>
      </c>
      <c r="K979" s="25">
        <f>VLOOKUP(D979,Lookups!$A$5:$E$10,4,FALSE)</f>
        <v/>
      </c>
      <c r="L979" s="25">
        <f>E979*K979*(1-F979)</f>
        <v/>
      </c>
      <c r="M979" s="25">
        <f>L979*VLOOKUP(D979,Lookups!$A$5:$E$10,5,FALSE)</f>
        <v/>
      </c>
    </row>
    <row r="980">
      <c r="A980" s="21" t="inlineStr">
        <is>
          <t>INV-11038</t>
        </is>
      </c>
      <c r="B980" s="22" t="n">
        <v>45953</v>
      </c>
      <c r="C980" s="21" t="inlineStr">
        <is>
          <t>R01</t>
        </is>
      </c>
      <c r="D980" s="21" t="inlineStr">
        <is>
          <t>P200</t>
        </is>
      </c>
      <c r="E980" s="21" t="n">
        <v>17</v>
      </c>
      <c r="F980" s="23" t="n">
        <v>0.1</v>
      </c>
      <c r="G980" s="24">
        <f>TEXT(B980,"mmm")</f>
        <v/>
      </c>
      <c r="H980" s="24">
        <f>HLOOKUP(C980,Lookups!$H$4:$K$5,2,FALSE)</f>
        <v/>
      </c>
      <c r="I980" s="24">
        <f>VLOOKUP(D980,Lookups!$A$5:$E$10,2,FALSE)</f>
        <v/>
      </c>
      <c r="J980" s="24">
        <f>VLOOKUP(D980,Lookups!$A$5:$E$10,3,FALSE)</f>
        <v/>
      </c>
      <c r="K980" s="25">
        <f>VLOOKUP(D980,Lookups!$A$5:$E$10,4,FALSE)</f>
        <v/>
      </c>
      <c r="L980" s="25">
        <f>E980*K980*(1-F980)</f>
        <v/>
      </c>
      <c r="M980" s="25">
        <f>L980*VLOOKUP(D980,Lookups!$A$5:$E$10,5,FALSE)</f>
        <v/>
      </c>
    </row>
    <row r="981">
      <c r="A981" s="21" t="inlineStr">
        <is>
          <t>INV-11193</t>
        </is>
      </c>
      <c r="B981" s="22" t="n">
        <v>45955</v>
      </c>
      <c r="C981" s="21" t="inlineStr">
        <is>
          <t>R02</t>
        </is>
      </c>
      <c r="D981" s="21" t="inlineStr">
        <is>
          <t>P500</t>
        </is>
      </c>
      <c r="E981" s="21" t="n">
        <v>5</v>
      </c>
      <c r="F981" s="23" t="n">
        <v>0.05</v>
      </c>
      <c r="G981" s="24">
        <f>TEXT(B981,"mmm")</f>
        <v/>
      </c>
      <c r="H981" s="24">
        <f>HLOOKUP(C981,Lookups!$H$4:$K$5,2,FALSE)</f>
        <v/>
      </c>
      <c r="I981" s="24">
        <f>VLOOKUP(D981,Lookups!$A$5:$E$10,2,FALSE)</f>
        <v/>
      </c>
      <c r="J981" s="24">
        <f>VLOOKUP(D981,Lookups!$A$5:$E$10,3,FALSE)</f>
        <v/>
      </c>
      <c r="K981" s="25">
        <f>VLOOKUP(D981,Lookups!$A$5:$E$10,4,FALSE)</f>
        <v/>
      </c>
      <c r="L981" s="25">
        <f>E981*K981*(1-F981)</f>
        <v/>
      </c>
      <c r="M981" s="25">
        <f>L981*VLOOKUP(D981,Lookups!$A$5:$E$10,5,FALSE)</f>
        <v/>
      </c>
    </row>
    <row r="982">
      <c r="A982" s="21" t="inlineStr">
        <is>
          <t>INV-10023</t>
        </is>
      </c>
      <c r="B982" s="22" t="n">
        <v>45956</v>
      </c>
      <c r="C982" s="21" t="inlineStr">
        <is>
          <t>R03</t>
        </is>
      </c>
      <c r="D982" s="21" t="inlineStr">
        <is>
          <t>P400</t>
        </is>
      </c>
      <c r="E982" s="21" t="n">
        <v>8</v>
      </c>
      <c r="F982" s="23" t="n">
        <v>0</v>
      </c>
      <c r="G982" s="24">
        <f>TEXT(B982,"mmm")</f>
        <v/>
      </c>
      <c r="H982" s="24">
        <f>HLOOKUP(C982,Lookups!$H$4:$K$5,2,FALSE)</f>
        <v/>
      </c>
      <c r="I982" s="24">
        <f>VLOOKUP(D982,Lookups!$A$5:$E$10,2,FALSE)</f>
        <v/>
      </c>
      <c r="J982" s="24">
        <f>VLOOKUP(D982,Lookups!$A$5:$E$10,3,FALSE)</f>
        <v/>
      </c>
      <c r="K982" s="25">
        <f>VLOOKUP(D982,Lookups!$A$5:$E$10,4,FALSE)</f>
        <v/>
      </c>
      <c r="L982" s="25">
        <f>E982*K982*(1-F982)</f>
        <v/>
      </c>
      <c r="M982" s="25">
        <f>L982*VLOOKUP(D982,Lookups!$A$5:$E$10,5,FALSE)</f>
        <v/>
      </c>
    </row>
    <row r="983">
      <c r="A983" s="21" t="inlineStr">
        <is>
          <t>INV-10322</t>
        </is>
      </c>
      <c r="B983" s="22" t="n">
        <v>45956</v>
      </c>
      <c r="C983" s="21" t="inlineStr">
        <is>
          <t>R02</t>
        </is>
      </c>
      <c r="D983" s="21" t="inlineStr">
        <is>
          <t>P600</t>
        </is>
      </c>
      <c r="E983" s="21" t="n">
        <v>12</v>
      </c>
      <c r="F983" s="23" t="n">
        <v>0.05</v>
      </c>
      <c r="G983" s="24">
        <f>TEXT(B983,"mmm")</f>
        <v/>
      </c>
      <c r="H983" s="24">
        <f>HLOOKUP(C983,Lookups!$H$4:$K$5,2,FALSE)</f>
        <v/>
      </c>
      <c r="I983" s="24">
        <f>VLOOKUP(D983,Lookups!$A$5:$E$10,2,FALSE)</f>
        <v/>
      </c>
      <c r="J983" s="24">
        <f>VLOOKUP(D983,Lookups!$A$5:$E$10,3,FALSE)</f>
        <v/>
      </c>
      <c r="K983" s="25">
        <f>VLOOKUP(D983,Lookups!$A$5:$E$10,4,FALSE)</f>
        <v/>
      </c>
      <c r="L983" s="25">
        <f>E983*K983*(1-F983)</f>
        <v/>
      </c>
      <c r="M983" s="25">
        <f>L983*VLOOKUP(D983,Lookups!$A$5:$E$10,5,FALSE)</f>
        <v/>
      </c>
    </row>
    <row r="984">
      <c r="A984" s="21" t="inlineStr">
        <is>
          <t>INV-10477</t>
        </is>
      </c>
      <c r="B984" s="22" t="n">
        <v>45956</v>
      </c>
      <c r="C984" s="21" t="inlineStr">
        <is>
          <t>R01</t>
        </is>
      </c>
      <c r="D984" s="21" t="inlineStr">
        <is>
          <t>P400</t>
        </is>
      </c>
      <c r="E984" s="21" t="n">
        <v>17</v>
      </c>
      <c r="F984" s="23" t="n">
        <v>0.1</v>
      </c>
      <c r="G984" s="24">
        <f>TEXT(B984,"mmm")</f>
        <v/>
      </c>
      <c r="H984" s="24">
        <f>HLOOKUP(C984,Lookups!$H$4:$K$5,2,FALSE)</f>
        <v/>
      </c>
      <c r="I984" s="24">
        <f>VLOOKUP(D984,Lookups!$A$5:$E$10,2,FALSE)</f>
        <v/>
      </c>
      <c r="J984" s="24">
        <f>VLOOKUP(D984,Lookups!$A$5:$E$10,3,FALSE)</f>
        <v/>
      </c>
      <c r="K984" s="25">
        <f>VLOOKUP(D984,Lookups!$A$5:$E$10,4,FALSE)</f>
        <v/>
      </c>
      <c r="L984" s="25">
        <f>E984*K984*(1-F984)</f>
        <v/>
      </c>
      <c r="M984" s="25">
        <f>L984*VLOOKUP(D984,Lookups!$A$5:$E$10,5,FALSE)</f>
        <v/>
      </c>
    </row>
    <row r="985">
      <c r="A985" s="21" t="inlineStr">
        <is>
          <t>INV-10898</t>
        </is>
      </c>
      <c r="B985" s="22" t="n">
        <v>45956</v>
      </c>
      <c r="C985" s="21" t="inlineStr">
        <is>
          <t>R04</t>
        </is>
      </c>
      <c r="D985" s="21" t="inlineStr">
        <is>
          <t>P500</t>
        </is>
      </c>
      <c r="E985" s="21" t="n">
        <v>22</v>
      </c>
      <c r="F985" s="23" t="n">
        <v>0.05</v>
      </c>
      <c r="G985" s="24">
        <f>TEXT(B985,"mmm")</f>
        <v/>
      </c>
      <c r="H985" s="24">
        <f>HLOOKUP(C985,Lookups!$H$4:$K$5,2,FALSE)</f>
        <v/>
      </c>
      <c r="I985" s="24">
        <f>VLOOKUP(D985,Lookups!$A$5:$E$10,2,FALSE)</f>
        <v/>
      </c>
      <c r="J985" s="24">
        <f>VLOOKUP(D985,Lookups!$A$5:$E$10,3,FALSE)</f>
        <v/>
      </c>
      <c r="K985" s="25">
        <f>VLOOKUP(D985,Lookups!$A$5:$E$10,4,FALSE)</f>
        <v/>
      </c>
      <c r="L985" s="25">
        <f>E985*K985*(1-F985)</f>
        <v/>
      </c>
      <c r="M985" s="25">
        <f>L985*VLOOKUP(D985,Lookups!$A$5:$E$10,5,FALSE)</f>
        <v/>
      </c>
    </row>
    <row r="986">
      <c r="A986" s="21" t="inlineStr">
        <is>
          <t>INV-10986</t>
        </is>
      </c>
      <c r="B986" s="22" t="n">
        <v>45956</v>
      </c>
      <c r="C986" s="21" t="inlineStr">
        <is>
          <t>R03</t>
        </is>
      </c>
      <c r="D986" s="21" t="inlineStr">
        <is>
          <t>P200</t>
        </is>
      </c>
      <c r="E986" s="21" t="n">
        <v>6</v>
      </c>
      <c r="F986" s="23" t="n">
        <v>0.05</v>
      </c>
      <c r="G986" s="24">
        <f>TEXT(B986,"mmm")</f>
        <v/>
      </c>
      <c r="H986" s="24">
        <f>HLOOKUP(C986,Lookups!$H$4:$K$5,2,FALSE)</f>
        <v/>
      </c>
      <c r="I986" s="24">
        <f>VLOOKUP(D986,Lookups!$A$5:$E$10,2,FALSE)</f>
        <v/>
      </c>
      <c r="J986" s="24">
        <f>VLOOKUP(D986,Lookups!$A$5:$E$10,3,FALSE)</f>
        <v/>
      </c>
      <c r="K986" s="25">
        <f>VLOOKUP(D986,Lookups!$A$5:$E$10,4,FALSE)</f>
        <v/>
      </c>
      <c r="L986" s="25">
        <f>E986*K986*(1-F986)</f>
        <v/>
      </c>
      <c r="M986" s="25">
        <f>L986*VLOOKUP(D986,Lookups!$A$5:$E$10,5,FALSE)</f>
        <v/>
      </c>
    </row>
    <row r="987">
      <c r="A987" s="21" t="inlineStr">
        <is>
          <t>INV-10119</t>
        </is>
      </c>
      <c r="B987" s="22" t="n">
        <v>45957</v>
      </c>
      <c r="C987" s="21" t="inlineStr">
        <is>
          <t>R01</t>
        </is>
      </c>
      <c r="D987" s="21" t="inlineStr">
        <is>
          <t>P600</t>
        </is>
      </c>
      <c r="E987" s="21" t="n">
        <v>25</v>
      </c>
      <c r="F987" s="23" t="n">
        <v>0.1</v>
      </c>
      <c r="G987" s="24">
        <f>TEXT(B987,"mmm")</f>
        <v/>
      </c>
      <c r="H987" s="24">
        <f>HLOOKUP(C987,Lookups!$H$4:$K$5,2,FALSE)</f>
        <v/>
      </c>
      <c r="I987" s="24">
        <f>VLOOKUP(D987,Lookups!$A$5:$E$10,2,FALSE)</f>
        <v/>
      </c>
      <c r="J987" s="24">
        <f>VLOOKUP(D987,Lookups!$A$5:$E$10,3,FALSE)</f>
        <v/>
      </c>
      <c r="K987" s="25">
        <f>VLOOKUP(D987,Lookups!$A$5:$E$10,4,FALSE)</f>
        <v/>
      </c>
      <c r="L987" s="25">
        <f>E987*K987*(1-F987)</f>
        <v/>
      </c>
      <c r="M987" s="25">
        <f>L987*VLOOKUP(D987,Lookups!$A$5:$E$10,5,FALSE)</f>
        <v/>
      </c>
    </row>
    <row r="988">
      <c r="A988" s="21" t="inlineStr">
        <is>
          <t>INV-10721</t>
        </is>
      </c>
      <c r="B988" s="22" t="n">
        <v>45957</v>
      </c>
      <c r="C988" s="21" t="inlineStr">
        <is>
          <t>R02</t>
        </is>
      </c>
      <c r="D988" s="21" t="inlineStr">
        <is>
          <t>P200</t>
        </is>
      </c>
      <c r="E988" s="21" t="n">
        <v>4</v>
      </c>
      <c r="F988" s="23" t="n">
        <v>0</v>
      </c>
      <c r="G988" s="24">
        <f>TEXT(B988,"mmm")</f>
        <v/>
      </c>
      <c r="H988" s="24">
        <f>HLOOKUP(C988,Lookups!$H$4:$K$5,2,FALSE)</f>
        <v/>
      </c>
      <c r="I988" s="24">
        <f>VLOOKUP(D988,Lookups!$A$5:$E$10,2,FALSE)</f>
        <v/>
      </c>
      <c r="J988" s="24">
        <f>VLOOKUP(D988,Lookups!$A$5:$E$10,3,FALSE)</f>
        <v/>
      </c>
      <c r="K988" s="25">
        <f>VLOOKUP(D988,Lookups!$A$5:$E$10,4,FALSE)</f>
        <v/>
      </c>
      <c r="L988" s="25">
        <f>E988*K988*(1-F988)</f>
        <v/>
      </c>
      <c r="M988" s="25">
        <f>L988*VLOOKUP(D988,Lookups!$A$5:$E$10,5,FALSE)</f>
        <v/>
      </c>
    </row>
    <row r="989">
      <c r="A989" s="21" t="inlineStr">
        <is>
          <t>INV-10889</t>
        </is>
      </c>
      <c r="B989" s="22" t="n">
        <v>45957</v>
      </c>
      <c r="C989" s="21" t="inlineStr">
        <is>
          <t>R02</t>
        </is>
      </c>
      <c r="D989" s="21" t="inlineStr">
        <is>
          <t>P400</t>
        </is>
      </c>
      <c r="E989" s="21" t="n">
        <v>23</v>
      </c>
      <c r="F989" s="23" t="n">
        <v>0</v>
      </c>
      <c r="G989" s="24">
        <f>TEXT(B989,"mmm")</f>
        <v/>
      </c>
      <c r="H989" s="24">
        <f>HLOOKUP(C989,Lookups!$H$4:$K$5,2,FALSE)</f>
        <v/>
      </c>
      <c r="I989" s="24">
        <f>VLOOKUP(D989,Lookups!$A$5:$E$10,2,FALSE)</f>
        <v/>
      </c>
      <c r="J989" s="24">
        <f>VLOOKUP(D989,Lookups!$A$5:$E$10,3,FALSE)</f>
        <v/>
      </c>
      <c r="K989" s="25">
        <f>VLOOKUP(D989,Lookups!$A$5:$E$10,4,FALSE)</f>
        <v/>
      </c>
      <c r="L989" s="25">
        <f>E989*K989*(1-F989)</f>
        <v/>
      </c>
      <c r="M989" s="25">
        <f>L989*VLOOKUP(D989,Lookups!$A$5:$E$10,5,FALSE)</f>
        <v/>
      </c>
    </row>
    <row r="990">
      <c r="A990" s="21" t="inlineStr">
        <is>
          <t>INV-10912</t>
        </is>
      </c>
      <c r="B990" s="22" t="n">
        <v>45957</v>
      </c>
      <c r="C990" s="21" t="inlineStr">
        <is>
          <t>R01</t>
        </is>
      </c>
      <c r="D990" s="21" t="inlineStr">
        <is>
          <t>P300</t>
        </is>
      </c>
      <c r="E990" s="21" t="n">
        <v>11</v>
      </c>
      <c r="F990" s="23" t="n">
        <v>0.1</v>
      </c>
      <c r="G990" s="24">
        <f>TEXT(B990,"mmm")</f>
        <v/>
      </c>
      <c r="H990" s="24">
        <f>HLOOKUP(C990,Lookups!$H$4:$K$5,2,FALSE)</f>
        <v/>
      </c>
      <c r="I990" s="24">
        <f>VLOOKUP(D990,Lookups!$A$5:$E$10,2,FALSE)</f>
        <v/>
      </c>
      <c r="J990" s="24">
        <f>VLOOKUP(D990,Lookups!$A$5:$E$10,3,FALSE)</f>
        <v/>
      </c>
      <c r="K990" s="25">
        <f>VLOOKUP(D990,Lookups!$A$5:$E$10,4,FALSE)</f>
        <v/>
      </c>
      <c r="L990" s="25">
        <f>E990*K990*(1-F990)</f>
        <v/>
      </c>
      <c r="M990" s="25">
        <f>L990*VLOOKUP(D990,Lookups!$A$5:$E$10,5,FALSE)</f>
        <v/>
      </c>
    </row>
    <row r="991">
      <c r="A991" s="21" t="inlineStr">
        <is>
          <t>INV-10254</t>
        </is>
      </c>
      <c r="B991" s="22" t="n">
        <v>45958</v>
      </c>
      <c r="C991" s="21" t="inlineStr">
        <is>
          <t>R02</t>
        </is>
      </c>
      <c r="D991" s="21" t="inlineStr">
        <is>
          <t>P200</t>
        </is>
      </c>
      <c r="E991" s="21" t="n">
        <v>11</v>
      </c>
      <c r="F991" s="23" t="n">
        <v>0</v>
      </c>
      <c r="G991" s="24">
        <f>TEXT(B991,"mmm")</f>
        <v/>
      </c>
      <c r="H991" s="24">
        <f>HLOOKUP(C991,Lookups!$H$4:$K$5,2,FALSE)</f>
        <v/>
      </c>
      <c r="I991" s="24">
        <f>VLOOKUP(D991,Lookups!$A$5:$E$10,2,FALSE)</f>
        <v/>
      </c>
      <c r="J991" s="24">
        <f>VLOOKUP(D991,Lookups!$A$5:$E$10,3,FALSE)</f>
        <v/>
      </c>
      <c r="K991" s="25">
        <f>VLOOKUP(D991,Lookups!$A$5:$E$10,4,FALSE)</f>
        <v/>
      </c>
      <c r="L991" s="25">
        <f>E991*K991*(1-F991)</f>
        <v/>
      </c>
      <c r="M991" s="25">
        <f>L991*VLOOKUP(D991,Lookups!$A$5:$E$10,5,FALSE)</f>
        <v/>
      </c>
    </row>
    <row r="992">
      <c r="A992" s="21" t="inlineStr">
        <is>
          <t>INV-10509</t>
        </is>
      </c>
      <c r="B992" s="22" t="n">
        <v>45958</v>
      </c>
      <c r="C992" s="21" t="inlineStr">
        <is>
          <t>R02</t>
        </is>
      </c>
      <c r="D992" s="21" t="inlineStr">
        <is>
          <t>P600</t>
        </is>
      </c>
      <c r="E992" s="21" t="n">
        <v>16</v>
      </c>
      <c r="F992" s="23" t="n">
        <v>0</v>
      </c>
      <c r="G992" s="24">
        <f>TEXT(B992,"mmm")</f>
        <v/>
      </c>
      <c r="H992" s="24">
        <f>HLOOKUP(C992,Lookups!$H$4:$K$5,2,FALSE)</f>
        <v/>
      </c>
      <c r="I992" s="24">
        <f>VLOOKUP(D992,Lookups!$A$5:$E$10,2,FALSE)</f>
        <v/>
      </c>
      <c r="J992" s="24">
        <f>VLOOKUP(D992,Lookups!$A$5:$E$10,3,FALSE)</f>
        <v/>
      </c>
      <c r="K992" s="25">
        <f>VLOOKUP(D992,Lookups!$A$5:$E$10,4,FALSE)</f>
        <v/>
      </c>
      <c r="L992" s="25">
        <f>E992*K992*(1-F992)</f>
        <v/>
      </c>
      <c r="M992" s="25">
        <f>L992*VLOOKUP(D992,Lookups!$A$5:$E$10,5,FALSE)</f>
        <v/>
      </c>
    </row>
    <row r="993">
      <c r="A993" s="21" t="inlineStr">
        <is>
          <t>INV-10731</t>
        </is>
      </c>
      <c r="B993" s="22" t="n">
        <v>45958</v>
      </c>
      <c r="C993" s="21" t="inlineStr">
        <is>
          <t>R02</t>
        </is>
      </c>
      <c r="D993" s="21" t="inlineStr">
        <is>
          <t>P600</t>
        </is>
      </c>
      <c r="E993" s="21" t="n">
        <v>25</v>
      </c>
      <c r="F993" s="23" t="n">
        <v>0</v>
      </c>
      <c r="G993" s="24">
        <f>TEXT(B993,"mmm")</f>
        <v/>
      </c>
      <c r="H993" s="24">
        <f>HLOOKUP(C993,Lookups!$H$4:$K$5,2,FALSE)</f>
        <v/>
      </c>
      <c r="I993" s="24">
        <f>VLOOKUP(D993,Lookups!$A$5:$E$10,2,FALSE)</f>
        <v/>
      </c>
      <c r="J993" s="24">
        <f>VLOOKUP(D993,Lookups!$A$5:$E$10,3,FALSE)</f>
        <v/>
      </c>
      <c r="K993" s="25">
        <f>VLOOKUP(D993,Lookups!$A$5:$E$10,4,FALSE)</f>
        <v/>
      </c>
      <c r="L993" s="25">
        <f>E993*K993*(1-F993)</f>
        <v/>
      </c>
      <c r="M993" s="25">
        <f>L993*VLOOKUP(D993,Lookups!$A$5:$E$10,5,FALSE)</f>
        <v/>
      </c>
    </row>
    <row r="994">
      <c r="A994" s="21" t="inlineStr">
        <is>
          <t>INV-10733</t>
        </is>
      </c>
      <c r="B994" s="22" t="n">
        <v>45958</v>
      </c>
      <c r="C994" s="21" t="inlineStr">
        <is>
          <t>R03</t>
        </is>
      </c>
      <c r="D994" s="21" t="inlineStr">
        <is>
          <t>P100</t>
        </is>
      </c>
      <c r="E994" s="21" t="n">
        <v>10</v>
      </c>
      <c r="F994" s="23" t="n">
        <v>0.05</v>
      </c>
      <c r="G994" s="24">
        <f>TEXT(B994,"mmm")</f>
        <v/>
      </c>
      <c r="H994" s="24">
        <f>HLOOKUP(C994,Lookups!$H$4:$K$5,2,FALSE)</f>
        <v/>
      </c>
      <c r="I994" s="24">
        <f>VLOOKUP(D994,Lookups!$A$5:$E$10,2,FALSE)</f>
        <v/>
      </c>
      <c r="J994" s="24">
        <f>VLOOKUP(D994,Lookups!$A$5:$E$10,3,FALSE)</f>
        <v/>
      </c>
      <c r="K994" s="25">
        <f>VLOOKUP(D994,Lookups!$A$5:$E$10,4,FALSE)</f>
        <v/>
      </c>
      <c r="L994" s="25">
        <f>E994*K994*(1-F994)</f>
        <v/>
      </c>
      <c r="M994" s="25">
        <f>L994*VLOOKUP(D994,Lookups!$A$5:$E$10,5,FALSE)</f>
        <v/>
      </c>
    </row>
    <row r="995">
      <c r="A995" s="21" t="inlineStr">
        <is>
          <t>INV-10795</t>
        </is>
      </c>
      <c r="B995" s="22" t="n">
        <v>45958</v>
      </c>
      <c r="C995" s="21" t="inlineStr">
        <is>
          <t>R03</t>
        </is>
      </c>
      <c r="D995" s="21" t="inlineStr">
        <is>
          <t>P500</t>
        </is>
      </c>
      <c r="E995" s="21" t="n">
        <v>12</v>
      </c>
      <c r="F995" s="23" t="n">
        <v>0</v>
      </c>
      <c r="G995" s="24">
        <f>TEXT(B995,"mmm")</f>
        <v/>
      </c>
      <c r="H995" s="24">
        <f>HLOOKUP(C995,Lookups!$H$4:$K$5,2,FALSE)</f>
        <v/>
      </c>
      <c r="I995" s="24">
        <f>VLOOKUP(D995,Lookups!$A$5:$E$10,2,FALSE)</f>
        <v/>
      </c>
      <c r="J995" s="24">
        <f>VLOOKUP(D995,Lookups!$A$5:$E$10,3,FALSE)</f>
        <v/>
      </c>
      <c r="K995" s="25">
        <f>VLOOKUP(D995,Lookups!$A$5:$E$10,4,FALSE)</f>
        <v/>
      </c>
      <c r="L995" s="25">
        <f>E995*K995*(1-F995)</f>
        <v/>
      </c>
      <c r="M995" s="25">
        <f>L995*VLOOKUP(D995,Lookups!$A$5:$E$10,5,FALSE)</f>
        <v/>
      </c>
    </row>
    <row r="996">
      <c r="A996" s="21" t="inlineStr">
        <is>
          <t>INV-11025</t>
        </is>
      </c>
      <c r="B996" s="22" t="n">
        <v>45958</v>
      </c>
      <c r="C996" s="21" t="inlineStr">
        <is>
          <t>R04</t>
        </is>
      </c>
      <c r="D996" s="21" t="inlineStr">
        <is>
          <t>P100</t>
        </is>
      </c>
      <c r="E996" s="21" t="n">
        <v>4</v>
      </c>
      <c r="F996" s="23" t="n">
        <v>0.05</v>
      </c>
      <c r="G996" s="24">
        <f>TEXT(B996,"mmm")</f>
        <v/>
      </c>
      <c r="H996" s="24">
        <f>HLOOKUP(C996,Lookups!$H$4:$K$5,2,FALSE)</f>
        <v/>
      </c>
      <c r="I996" s="24">
        <f>VLOOKUP(D996,Lookups!$A$5:$E$10,2,FALSE)</f>
        <v/>
      </c>
      <c r="J996" s="24">
        <f>VLOOKUP(D996,Lookups!$A$5:$E$10,3,FALSE)</f>
        <v/>
      </c>
      <c r="K996" s="25">
        <f>VLOOKUP(D996,Lookups!$A$5:$E$10,4,FALSE)</f>
        <v/>
      </c>
      <c r="L996" s="25">
        <f>E996*K996*(1-F996)</f>
        <v/>
      </c>
      <c r="M996" s="25">
        <f>L996*VLOOKUP(D996,Lookups!$A$5:$E$10,5,FALSE)</f>
        <v/>
      </c>
    </row>
    <row r="997">
      <c r="A997" s="21" t="inlineStr">
        <is>
          <t>INV-10006</t>
        </is>
      </c>
      <c r="B997" s="22" t="n">
        <v>45959</v>
      </c>
      <c r="C997" s="21" t="inlineStr">
        <is>
          <t>R01</t>
        </is>
      </c>
      <c r="D997" s="21" t="inlineStr">
        <is>
          <t>P300</t>
        </is>
      </c>
      <c r="E997" s="21" t="n">
        <v>25</v>
      </c>
      <c r="F997" s="23" t="n">
        <v>0</v>
      </c>
      <c r="G997" s="24">
        <f>TEXT(B997,"mmm")</f>
        <v/>
      </c>
      <c r="H997" s="24">
        <f>HLOOKUP(C997,Lookups!$H$4:$K$5,2,FALSE)</f>
        <v/>
      </c>
      <c r="I997" s="24">
        <f>VLOOKUP(D997,Lookups!$A$5:$E$10,2,FALSE)</f>
        <v/>
      </c>
      <c r="J997" s="24">
        <f>VLOOKUP(D997,Lookups!$A$5:$E$10,3,FALSE)</f>
        <v/>
      </c>
      <c r="K997" s="25">
        <f>VLOOKUP(D997,Lookups!$A$5:$E$10,4,FALSE)</f>
        <v/>
      </c>
      <c r="L997" s="25">
        <f>E997*K997*(1-F997)</f>
        <v/>
      </c>
      <c r="M997" s="25">
        <f>L997*VLOOKUP(D997,Lookups!$A$5:$E$10,5,FALSE)</f>
        <v/>
      </c>
    </row>
    <row r="998">
      <c r="A998" s="21" t="inlineStr">
        <is>
          <t>INV-10650</t>
        </is>
      </c>
      <c r="B998" s="22" t="n">
        <v>45959</v>
      </c>
      <c r="C998" s="21" t="inlineStr">
        <is>
          <t>R04</t>
        </is>
      </c>
      <c r="D998" s="21" t="inlineStr">
        <is>
          <t>P600</t>
        </is>
      </c>
      <c r="E998" s="21" t="n">
        <v>12</v>
      </c>
      <c r="F998" s="23" t="n">
        <v>0.1</v>
      </c>
      <c r="G998" s="24">
        <f>TEXT(B998,"mmm")</f>
        <v/>
      </c>
      <c r="H998" s="24">
        <f>HLOOKUP(C998,Lookups!$H$4:$K$5,2,FALSE)</f>
        <v/>
      </c>
      <c r="I998" s="24">
        <f>VLOOKUP(D998,Lookups!$A$5:$E$10,2,FALSE)</f>
        <v/>
      </c>
      <c r="J998" s="24">
        <f>VLOOKUP(D998,Lookups!$A$5:$E$10,3,FALSE)</f>
        <v/>
      </c>
      <c r="K998" s="25">
        <f>VLOOKUP(D998,Lookups!$A$5:$E$10,4,FALSE)</f>
        <v/>
      </c>
      <c r="L998" s="25">
        <f>E998*K998*(1-F998)</f>
        <v/>
      </c>
      <c r="M998" s="25">
        <f>L998*VLOOKUP(D998,Lookups!$A$5:$E$10,5,FALSE)</f>
        <v/>
      </c>
    </row>
    <row r="999">
      <c r="A999" s="21" t="inlineStr">
        <is>
          <t>INV-10725</t>
        </is>
      </c>
      <c r="B999" s="22" t="n">
        <v>45960</v>
      </c>
      <c r="C999" s="21" t="inlineStr">
        <is>
          <t>R03</t>
        </is>
      </c>
      <c r="D999" s="21" t="inlineStr">
        <is>
          <t>P100</t>
        </is>
      </c>
      <c r="E999" s="21" t="n">
        <v>19</v>
      </c>
      <c r="F999" s="23" t="n">
        <v>0</v>
      </c>
      <c r="G999" s="24">
        <f>TEXT(B999,"mmm")</f>
        <v/>
      </c>
      <c r="H999" s="24">
        <f>HLOOKUP(C999,Lookups!$H$4:$K$5,2,FALSE)</f>
        <v/>
      </c>
      <c r="I999" s="24">
        <f>VLOOKUP(D999,Lookups!$A$5:$E$10,2,FALSE)</f>
        <v/>
      </c>
      <c r="J999" s="24">
        <f>VLOOKUP(D999,Lookups!$A$5:$E$10,3,FALSE)</f>
        <v/>
      </c>
      <c r="K999" s="25">
        <f>VLOOKUP(D999,Lookups!$A$5:$E$10,4,FALSE)</f>
        <v/>
      </c>
      <c r="L999" s="25">
        <f>E999*K999*(1-F999)</f>
        <v/>
      </c>
      <c r="M999" s="25">
        <f>L999*VLOOKUP(D999,Lookups!$A$5:$E$10,5,FALSE)</f>
        <v/>
      </c>
    </row>
    <row r="1000">
      <c r="A1000" s="21" t="inlineStr">
        <is>
          <t>INV-10959</t>
        </is>
      </c>
      <c r="B1000" s="22" t="n">
        <v>45960</v>
      </c>
      <c r="C1000" s="21" t="inlineStr">
        <is>
          <t>R01</t>
        </is>
      </c>
      <c r="D1000" s="21" t="inlineStr">
        <is>
          <t>P200</t>
        </is>
      </c>
      <c r="E1000" s="21" t="n">
        <v>18</v>
      </c>
      <c r="F1000" s="23" t="n">
        <v>0.05</v>
      </c>
      <c r="G1000" s="24">
        <f>TEXT(B1000,"mmm")</f>
        <v/>
      </c>
      <c r="H1000" s="24">
        <f>HLOOKUP(C1000,Lookups!$H$4:$K$5,2,FALSE)</f>
        <v/>
      </c>
      <c r="I1000" s="24">
        <f>VLOOKUP(D1000,Lookups!$A$5:$E$10,2,FALSE)</f>
        <v/>
      </c>
      <c r="J1000" s="24">
        <f>VLOOKUP(D1000,Lookups!$A$5:$E$10,3,FALSE)</f>
        <v/>
      </c>
      <c r="K1000" s="25">
        <f>VLOOKUP(D1000,Lookups!$A$5:$E$10,4,FALSE)</f>
        <v/>
      </c>
      <c r="L1000" s="25">
        <f>E1000*K1000*(1-F1000)</f>
        <v/>
      </c>
      <c r="M1000" s="25">
        <f>L1000*VLOOKUP(D1000,Lookups!$A$5:$E$10,5,FALSE)</f>
        <v/>
      </c>
    </row>
    <row r="1001">
      <c r="A1001" s="21" t="inlineStr">
        <is>
          <t>INV-11075</t>
        </is>
      </c>
      <c r="B1001" s="22" t="n">
        <v>45960</v>
      </c>
      <c r="C1001" s="21" t="inlineStr">
        <is>
          <t>R04</t>
        </is>
      </c>
      <c r="D1001" s="21" t="inlineStr">
        <is>
          <t>P500</t>
        </is>
      </c>
      <c r="E1001" s="21" t="n">
        <v>21</v>
      </c>
      <c r="F1001" s="23" t="n">
        <v>0.1</v>
      </c>
      <c r="G1001" s="24">
        <f>TEXT(B1001,"mmm")</f>
        <v/>
      </c>
      <c r="H1001" s="24">
        <f>HLOOKUP(C1001,Lookups!$H$4:$K$5,2,FALSE)</f>
        <v/>
      </c>
      <c r="I1001" s="24">
        <f>VLOOKUP(D1001,Lookups!$A$5:$E$10,2,FALSE)</f>
        <v/>
      </c>
      <c r="J1001" s="24">
        <f>VLOOKUP(D1001,Lookups!$A$5:$E$10,3,FALSE)</f>
        <v/>
      </c>
      <c r="K1001" s="25">
        <f>VLOOKUP(D1001,Lookups!$A$5:$E$10,4,FALSE)</f>
        <v/>
      </c>
      <c r="L1001" s="25">
        <f>E1001*K1001*(1-F1001)</f>
        <v/>
      </c>
      <c r="M1001" s="25">
        <f>L1001*VLOOKUP(D1001,Lookups!$A$5:$E$10,5,FALSE)</f>
        <v/>
      </c>
    </row>
    <row r="1002">
      <c r="A1002" s="21" t="inlineStr">
        <is>
          <t>INV-10399</t>
        </is>
      </c>
      <c r="B1002" s="22" t="n">
        <v>45961</v>
      </c>
      <c r="C1002" s="21" t="inlineStr">
        <is>
          <t>R02</t>
        </is>
      </c>
      <c r="D1002" s="21" t="inlineStr">
        <is>
          <t>P500</t>
        </is>
      </c>
      <c r="E1002" s="21" t="n">
        <v>6</v>
      </c>
      <c r="F1002" s="23" t="n">
        <v>0.05</v>
      </c>
      <c r="G1002" s="24">
        <f>TEXT(B1002,"mmm")</f>
        <v/>
      </c>
      <c r="H1002" s="24">
        <f>HLOOKUP(C1002,Lookups!$H$4:$K$5,2,FALSE)</f>
        <v/>
      </c>
      <c r="I1002" s="24">
        <f>VLOOKUP(D1002,Lookups!$A$5:$E$10,2,FALSE)</f>
        <v/>
      </c>
      <c r="J1002" s="24">
        <f>VLOOKUP(D1002,Lookups!$A$5:$E$10,3,FALSE)</f>
        <v/>
      </c>
      <c r="K1002" s="25">
        <f>VLOOKUP(D1002,Lookups!$A$5:$E$10,4,FALSE)</f>
        <v/>
      </c>
      <c r="L1002" s="25">
        <f>E1002*K1002*(1-F1002)</f>
        <v/>
      </c>
      <c r="M1002" s="25">
        <f>L1002*VLOOKUP(D1002,Lookups!$A$5:$E$10,5,FALSE)</f>
        <v/>
      </c>
    </row>
    <row r="1003">
      <c r="A1003" s="21" t="inlineStr">
        <is>
          <t>INV-10570</t>
        </is>
      </c>
      <c r="B1003" s="22" t="n">
        <v>45961</v>
      </c>
      <c r="C1003" s="21" t="inlineStr">
        <is>
          <t>R02</t>
        </is>
      </c>
      <c r="D1003" s="21" t="inlineStr">
        <is>
          <t>P500</t>
        </is>
      </c>
      <c r="E1003" s="21" t="n">
        <v>22</v>
      </c>
      <c r="F1003" s="23" t="n">
        <v>0</v>
      </c>
      <c r="G1003" s="24">
        <f>TEXT(B1003,"mmm")</f>
        <v/>
      </c>
      <c r="H1003" s="24">
        <f>HLOOKUP(C1003,Lookups!$H$4:$K$5,2,FALSE)</f>
        <v/>
      </c>
      <c r="I1003" s="24">
        <f>VLOOKUP(D1003,Lookups!$A$5:$E$10,2,FALSE)</f>
        <v/>
      </c>
      <c r="J1003" s="24">
        <f>VLOOKUP(D1003,Lookups!$A$5:$E$10,3,FALSE)</f>
        <v/>
      </c>
      <c r="K1003" s="25">
        <f>VLOOKUP(D1003,Lookups!$A$5:$E$10,4,FALSE)</f>
        <v/>
      </c>
      <c r="L1003" s="25">
        <f>E1003*K1003*(1-F1003)</f>
        <v/>
      </c>
      <c r="M1003" s="25">
        <f>L1003*VLOOKUP(D1003,Lookups!$A$5:$E$10,5,FALSE)</f>
        <v/>
      </c>
    </row>
    <row r="1004">
      <c r="A1004" s="21" t="inlineStr">
        <is>
          <t>INV-10773</t>
        </is>
      </c>
      <c r="B1004" s="22" t="n">
        <v>45962</v>
      </c>
      <c r="C1004" s="21" t="inlineStr">
        <is>
          <t>R03</t>
        </is>
      </c>
      <c r="D1004" s="21" t="inlineStr">
        <is>
          <t>P300</t>
        </is>
      </c>
      <c r="E1004" s="21" t="n">
        <v>24</v>
      </c>
      <c r="F1004" s="23" t="n">
        <v>0</v>
      </c>
      <c r="G1004" s="24">
        <f>TEXT(B1004,"mmm")</f>
        <v/>
      </c>
      <c r="H1004" s="24">
        <f>HLOOKUP(C1004,Lookups!$H$4:$K$5,2,FALSE)</f>
        <v/>
      </c>
      <c r="I1004" s="24">
        <f>VLOOKUP(D1004,Lookups!$A$5:$E$10,2,FALSE)</f>
        <v/>
      </c>
      <c r="J1004" s="24">
        <f>VLOOKUP(D1004,Lookups!$A$5:$E$10,3,FALSE)</f>
        <v/>
      </c>
      <c r="K1004" s="25">
        <f>VLOOKUP(D1004,Lookups!$A$5:$E$10,4,FALSE)</f>
        <v/>
      </c>
      <c r="L1004" s="25">
        <f>E1004*K1004*(1-F1004)</f>
        <v/>
      </c>
      <c r="M1004" s="25">
        <f>L1004*VLOOKUP(D1004,Lookups!$A$5:$E$10,5,FALSE)</f>
        <v/>
      </c>
    </row>
    <row r="1005">
      <c r="A1005" s="21" t="inlineStr">
        <is>
          <t>INV-11151</t>
        </is>
      </c>
      <c r="B1005" s="22" t="n">
        <v>45962</v>
      </c>
      <c r="C1005" s="21" t="inlineStr">
        <is>
          <t>R03</t>
        </is>
      </c>
      <c r="D1005" s="21" t="inlineStr">
        <is>
          <t>P600</t>
        </is>
      </c>
      <c r="E1005" s="21" t="n">
        <v>2</v>
      </c>
      <c r="F1005" s="23" t="n">
        <v>0.1</v>
      </c>
      <c r="G1005" s="24">
        <f>TEXT(B1005,"mmm")</f>
        <v/>
      </c>
      <c r="H1005" s="24">
        <f>HLOOKUP(C1005,Lookups!$H$4:$K$5,2,FALSE)</f>
        <v/>
      </c>
      <c r="I1005" s="24">
        <f>VLOOKUP(D1005,Lookups!$A$5:$E$10,2,FALSE)</f>
        <v/>
      </c>
      <c r="J1005" s="24">
        <f>VLOOKUP(D1005,Lookups!$A$5:$E$10,3,FALSE)</f>
        <v/>
      </c>
      <c r="K1005" s="25">
        <f>VLOOKUP(D1005,Lookups!$A$5:$E$10,4,FALSE)</f>
        <v/>
      </c>
      <c r="L1005" s="25">
        <f>E1005*K1005*(1-F1005)</f>
        <v/>
      </c>
      <c r="M1005" s="25">
        <f>L1005*VLOOKUP(D1005,Lookups!$A$5:$E$10,5,FALSE)</f>
        <v/>
      </c>
    </row>
    <row r="1006">
      <c r="A1006" s="21" t="inlineStr">
        <is>
          <t>INV-10026</t>
        </is>
      </c>
      <c r="B1006" s="22" t="n">
        <v>45963</v>
      </c>
      <c r="C1006" s="21" t="inlineStr">
        <is>
          <t>R04</t>
        </is>
      </c>
      <c r="D1006" s="21" t="inlineStr">
        <is>
          <t>P100</t>
        </is>
      </c>
      <c r="E1006" s="21" t="n">
        <v>13</v>
      </c>
      <c r="F1006" s="23" t="n">
        <v>0.1</v>
      </c>
      <c r="G1006" s="24">
        <f>TEXT(B1006,"mmm")</f>
        <v/>
      </c>
      <c r="H1006" s="24">
        <f>HLOOKUP(C1006,Lookups!$H$4:$K$5,2,FALSE)</f>
        <v/>
      </c>
      <c r="I1006" s="24">
        <f>VLOOKUP(D1006,Lookups!$A$5:$E$10,2,FALSE)</f>
        <v/>
      </c>
      <c r="J1006" s="24">
        <f>VLOOKUP(D1006,Lookups!$A$5:$E$10,3,FALSE)</f>
        <v/>
      </c>
      <c r="K1006" s="25">
        <f>VLOOKUP(D1006,Lookups!$A$5:$E$10,4,FALSE)</f>
        <v/>
      </c>
      <c r="L1006" s="25">
        <f>E1006*K1006*(1-F1006)</f>
        <v/>
      </c>
      <c r="M1006" s="25">
        <f>L1006*VLOOKUP(D1006,Lookups!$A$5:$E$10,5,FALSE)</f>
        <v/>
      </c>
    </row>
    <row r="1007">
      <c r="A1007" s="21" t="inlineStr">
        <is>
          <t>INV-10255</t>
        </is>
      </c>
      <c r="B1007" s="22" t="n">
        <v>45963</v>
      </c>
      <c r="C1007" s="21" t="inlineStr">
        <is>
          <t>R03</t>
        </is>
      </c>
      <c r="D1007" s="21" t="inlineStr">
        <is>
          <t>P100</t>
        </is>
      </c>
      <c r="E1007" s="21" t="n">
        <v>5</v>
      </c>
      <c r="F1007" s="23" t="n">
        <v>0</v>
      </c>
      <c r="G1007" s="24">
        <f>TEXT(B1007,"mmm")</f>
        <v/>
      </c>
      <c r="H1007" s="24">
        <f>HLOOKUP(C1007,Lookups!$H$4:$K$5,2,FALSE)</f>
        <v/>
      </c>
      <c r="I1007" s="24">
        <f>VLOOKUP(D1007,Lookups!$A$5:$E$10,2,FALSE)</f>
        <v/>
      </c>
      <c r="J1007" s="24">
        <f>VLOOKUP(D1007,Lookups!$A$5:$E$10,3,FALSE)</f>
        <v/>
      </c>
      <c r="K1007" s="25">
        <f>VLOOKUP(D1007,Lookups!$A$5:$E$10,4,FALSE)</f>
        <v/>
      </c>
      <c r="L1007" s="25">
        <f>E1007*K1007*(1-F1007)</f>
        <v/>
      </c>
      <c r="M1007" s="25">
        <f>L1007*VLOOKUP(D1007,Lookups!$A$5:$E$10,5,FALSE)</f>
        <v/>
      </c>
    </row>
    <row r="1008">
      <c r="A1008" s="21" t="inlineStr">
        <is>
          <t>INV-10431</t>
        </is>
      </c>
      <c r="B1008" s="22" t="n">
        <v>45963</v>
      </c>
      <c r="C1008" s="21" t="inlineStr">
        <is>
          <t>R03</t>
        </is>
      </c>
      <c r="D1008" s="21" t="inlineStr">
        <is>
          <t>P400</t>
        </is>
      </c>
      <c r="E1008" s="21" t="n">
        <v>21</v>
      </c>
      <c r="F1008" s="23" t="n">
        <v>0</v>
      </c>
      <c r="G1008" s="24">
        <f>TEXT(B1008,"mmm")</f>
        <v/>
      </c>
      <c r="H1008" s="24">
        <f>HLOOKUP(C1008,Lookups!$H$4:$K$5,2,FALSE)</f>
        <v/>
      </c>
      <c r="I1008" s="24">
        <f>VLOOKUP(D1008,Lookups!$A$5:$E$10,2,FALSE)</f>
        <v/>
      </c>
      <c r="J1008" s="24">
        <f>VLOOKUP(D1008,Lookups!$A$5:$E$10,3,FALSE)</f>
        <v/>
      </c>
      <c r="K1008" s="25">
        <f>VLOOKUP(D1008,Lookups!$A$5:$E$10,4,FALSE)</f>
        <v/>
      </c>
      <c r="L1008" s="25">
        <f>E1008*K1008*(1-F1008)</f>
        <v/>
      </c>
      <c r="M1008" s="25">
        <f>L1008*VLOOKUP(D1008,Lookups!$A$5:$E$10,5,FALSE)</f>
        <v/>
      </c>
    </row>
    <row r="1009">
      <c r="A1009" s="21" t="inlineStr">
        <is>
          <t>INV-10597</t>
        </is>
      </c>
      <c r="B1009" s="22" t="n">
        <v>45963</v>
      </c>
      <c r="C1009" s="21" t="inlineStr">
        <is>
          <t>R04</t>
        </is>
      </c>
      <c r="D1009" s="21" t="inlineStr">
        <is>
          <t>P400</t>
        </is>
      </c>
      <c r="E1009" s="21" t="n">
        <v>19</v>
      </c>
      <c r="F1009" s="23" t="n">
        <v>0</v>
      </c>
      <c r="G1009" s="24">
        <f>TEXT(B1009,"mmm")</f>
        <v/>
      </c>
      <c r="H1009" s="24">
        <f>HLOOKUP(C1009,Lookups!$H$4:$K$5,2,FALSE)</f>
        <v/>
      </c>
      <c r="I1009" s="24">
        <f>VLOOKUP(D1009,Lookups!$A$5:$E$10,2,FALSE)</f>
        <v/>
      </c>
      <c r="J1009" s="24">
        <f>VLOOKUP(D1009,Lookups!$A$5:$E$10,3,FALSE)</f>
        <v/>
      </c>
      <c r="K1009" s="25">
        <f>VLOOKUP(D1009,Lookups!$A$5:$E$10,4,FALSE)</f>
        <v/>
      </c>
      <c r="L1009" s="25">
        <f>E1009*K1009*(1-F1009)</f>
        <v/>
      </c>
      <c r="M1009" s="25">
        <f>L1009*VLOOKUP(D1009,Lookups!$A$5:$E$10,5,FALSE)</f>
        <v/>
      </c>
    </row>
    <row r="1010">
      <c r="A1010" s="21" t="inlineStr">
        <is>
          <t>INV-10914</t>
        </is>
      </c>
      <c r="B1010" s="22" t="n">
        <v>45963</v>
      </c>
      <c r="C1010" s="21" t="inlineStr">
        <is>
          <t>R03</t>
        </is>
      </c>
      <c r="D1010" s="21" t="inlineStr">
        <is>
          <t>P100</t>
        </is>
      </c>
      <c r="E1010" s="21" t="n">
        <v>16</v>
      </c>
      <c r="F1010" s="23" t="n">
        <v>0.05</v>
      </c>
      <c r="G1010" s="24">
        <f>TEXT(B1010,"mmm")</f>
        <v/>
      </c>
      <c r="H1010" s="24">
        <f>HLOOKUP(C1010,Lookups!$H$4:$K$5,2,FALSE)</f>
        <v/>
      </c>
      <c r="I1010" s="24">
        <f>VLOOKUP(D1010,Lookups!$A$5:$E$10,2,FALSE)</f>
        <v/>
      </c>
      <c r="J1010" s="24">
        <f>VLOOKUP(D1010,Lookups!$A$5:$E$10,3,FALSE)</f>
        <v/>
      </c>
      <c r="K1010" s="25">
        <f>VLOOKUP(D1010,Lookups!$A$5:$E$10,4,FALSE)</f>
        <v/>
      </c>
      <c r="L1010" s="25">
        <f>E1010*K1010*(1-F1010)</f>
        <v/>
      </c>
      <c r="M1010" s="25">
        <f>L1010*VLOOKUP(D1010,Lookups!$A$5:$E$10,5,FALSE)</f>
        <v/>
      </c>
    </row>
    <row r="1011">
      <c r="A1011" s="21" t="inlineStr">
        <is>
          <t>INV-11182</t>
        </is>
      </c>
      <c r="B1011" s="22" t="n">
        <v>45963</v>
      </c>
      <c r="C1011" s="21" t="inlineStr">
        <is>
          <t>R01</t>
        </is>
      </c>
      <c r="D1011" s="21" t="inlineStr">
        <is>
          <t>P500</t>
        </is>
      </c>
      <c r="E1011" s="21" t="n">
        <v>6</v>
      </c>
      <c r="F1011" s="23" t="n">
        <v>0</v>
      </c>
      <c r="G1011" s="24">
        <f>TEXT(B1011,"mmm")</f>
        <v/>
      </c>
      <c r="H1011" s="24">
        <f>HLOOKUP(C1011,Lookups!$H$4:$K$5,2,FALSE)</f>
        <v/>
      </c>
      <c r="I1011" s="24">
        <f>VLOOKUP(D1011,Lookups!$A$5:$E$10,2,FALSE)</f>
        <v/>
      </c>
      <c r="J1011" s="24">
        <f>VLOOKUP(D1011,Lookups!$A$5:$E$10,3,FALSE)</f>
        <v/>
      </c>
      <c r="K1011" s="25">
        <f>VLOOKUP(D1011,Lookups!$A$5:$E$10,4,FALSE)</f>
        <v/>
      </c>
      <c r="L1011" s="25">
        <f>E1011*K1011*(1-F1011)</f>
        <v/>
      </c>
      <c r="M1011" s="25">
        <f>L1011*VLOOKUP(D1011,Lookups!$A$5:$E$10,5,FALSE)</f>
        <v/>
      </c>
    </row>
    <row r="1012">
      <c r="A1012" s="21" t="inlineStr">
        <is>
          <t>INV-10033</t>
        </is>
      </c>
      <c r="B1012" s="22" t="n">
        <v>45964</v>
      </c>
      <c r="C1012" s="21" t="inlineStr">
        <is>
          <t>R04</t>
        </is>
      </c>
      <c r="D1012" s="21" t="inlineStr">
        <is>
          <t>P300</t>
        </is>
      </c>
      <c r="E1012" s="21" t="n">
        <v>1</v>
      </c>
      <c r="F1012" s="23" t="n">
        <v>0</v>
      </c>
      <c r="G1012" s="24">
        <f>TEXT(B1012,"mmm")</f>
        <v/>
      </c>
      <c r="H1012" s="24">
        <f>HLOOKUP(C1012,Lookups!$H$4:$K$5,2,FALSE)</f>
        <v/>
      </c>
      <c r="I1012" s="24">
        <f>VLOOKUP(D1012,Lookups!$A$5:$E$10,2,FALSE)</f>
        <v/>
      </c>
      <c r="J1012" s="24">
        <f>VLOOKUP(D1012,Lookups!$A$5:$E$10,3,FALSE)</f>
        <v/>
      </c>
      <c r="K1012" s="25">
        <f>VLOOKUP(D1012,Lookups!$A$5:$E$10,4,FALSE)</f>
        <v/>
      </c>
      <c r="L1012" s="25">
        <f>E1012*K1012*(1-F1012)</f>
        <v/>
      </c>
      <c r="M1012" s="25">
        <f>L1012*VLOOKUP(D1012,Lookups!$A$5:$E$10,5,FALSE)</f>
        <v/>
      </c>
    </row>
    <row r="1013">
      <c r="A1013" s="21" t="inlineStr">
        <is>
          <t>INV-10983</t>
        </is>
      </c>
      <c r="B1013" s="22" t="n">
        <v>45964</v>
      </c>
      <c r="C1013" s="21" t="inlineStr">
        <is>
          <t>R01</t>
        </is>
      </c>
      <c r="D1013" s="21" t="inlineStr">
        <is>
          <t>P500</t>
        </is>
      </c>
      <c r="E1013" s="21" t="n">
        <v>24</v>
      </c>
      <c r="F1013" s="23" t="n">
        <v>0.05</v>
      </c>
      <c r="G1013" s="24">
        <f>TEXT(B1013,"mmm")</f>
        <v/>
      </c>
      <c r="H1013" s="24">
        <f>HLOOKUP(C1013,Lookups!$H$4:$K$5,2,FALSE)</f>
        <v/>
      </c>
      <c r="I1013" s="24">
        <f>VLOOKUP(D1013,Lookups!$A$5:$E$10,2,FALSE)</f>
        <v/>
      </c>
      <c r="J1013" s="24">
        <f>VLOOKUP(D1013,Lookups!$A$5:$E$10,3,FALSE)</f>
        <v/>
      </c>
      <c r="K1013" s="25">
        <f>VLOOKUP(D1013,Lookups!$A$5:$E$10,4,FALSE)</f>
        <v/>
      </c>
      <c r="L1013" s="25">
        <f>E1013*K1013*(1-F1013)</f>
        <v/>
      </c>
      <c r="M1013" s="25">
        <f>L1013*VLOOKUP(D1013,Lookups!$A$5:$E$10,5,FALSE)</f>
        <v/>
      </c>
    </row>
    <row r="1014">
      <c r="A1014" s="21" t="inlineStr">
        <is>
          <t>INV-10996</t>
        </is>
      </c>
      <c r="B1014" s="22" t="n">
        <v>45964</v>
      </c>
      <c r="C1014" s="21" t="inlineStr">
        <is>
          <t>R04</t>
        </is>
      </c>
      <c r="D1014" s="21" t="inlineStr">
        <is>
          <t>P500</t>
        </is>
      </c>
      <c r="E1014" s="21" t="n">
        <v>9</v>
      </c>
      <c r="F1014" s="23" t="n">
        <v>0</v>
      </c>
      <c r="G1014" s="24">
        <f>TEXT(B1014,"mmm")</f>
        <v/>
      </c>
      <c r="H1014" s="24">
        <f>HLOOKUP(C1014,Lookups!$H$4:$K$5,2,FALSE)</f>
        <v/>
      </c>
      <c r="I1014" s="24">
        <f>VLOOKUP(D1014,Lookups!$A$5:$E$10,2,FALSE)</f>
        <v/>
      </c>
      <c r="J1014" s="24">
        <f>VLOOKUP(D1014,Lookups!$A$5:$E$10,3,FALSE)</f>
        <v/>
      </c>
      <c r="K1014" s="25">
        <f>VLOOKUP(D1014,Lookups!$A$5:$E$10,4,FALSE)</f>
        <v/>
      </c>
      <c r="L1014" s="25">
        <f>E1014*K1014*(1-F1014)</f>
        <v/>
      </c>
      <c r="M1014" s="25">
        <f>L1014*VLOOKUP(D1014,Lookups!$A$5:$E$10,5,FALSE)</f>
        <v/>
      </c>
    </row>
    <row r="1015">
      <c r="A1015" s="21" t="inlineStr">
        <is>
          <t>INV-11013</t>
        </is>
      </c>
      <c r="B1015" s="22" t="n">
        <v>45964</v>
      </c>
      <c r="C1015" s="21" t="inlineStr">
        <is>
          <t>R02</t>
        </is>
      </c>
      <c r="D1015" s="21" t="inlineStr">
        <is>
          <t>P500</t>
        </is>
      </c>
      <c r="E1015" s="21" t="n">
        <v>20</v>
      </c>
      <c r="F1015" s="23" t="n">
        <v>0</v>
      </c>
      <c r="G1015" s="24">
        <f>TEXT(B1015,"mmm")</f>
        <v/>
      </c>
      <c r="H1015" s="24">
        <f>HLOOKUP(C1015,Lookups!$H$4:$K$5,2,FALSE)</f>
        <v/>
      </c>
      <c r="I1015" s="24">
        <f>VLOOKUP(D1015,Lookups!$A$5:$E$10,2,FALSE)</f>
        <v/>
      </c>
      <c r="J1015" s="24">
        <f>VLOOKUP(D1015,Lookups!$A$5:$E$10,3,FALSE)</f>
        <v/>
      </c>
      <c r="K1015" s="25">
        <f>VLOOKUP(D1015,Lookups!$A$5:$E$10,4,FALSE)</f>
        <v/>
      </c>
      <c r="L1015" s="25">
        <f>E1015*K1015*(1-F1015)</f>
        <v/>
      </c>
      <c r="M1015" s="25">
        <f>L1015*VLOOKUP(D1015,Lookups!$A$5:$E$10,5,FALSE)</f>
        <v/>
      </c>
    </row>
    <row r="1016">
      <c r="A1016" s="21" t="inlineStr">
        <is>
          <t>INV-10801</t>
        </is>
      </c>
      <c r="B1016" s="22" t="n">
        <v>45965</v>
      </c>
      <c r="C1016" s="21" t="inlineStr">
        <is>
          <t>R02</t>
        </is>
      </c>
      <c r="D1016" s="21" t="inlineStr">
        <is>
          <t>P100</t>
        </is>
      </c>
      <c r="E1016" s="21" t="n">
        <v>9</v>
      </c>
      <c r="F1016" s="23" t="n">
        <v>0.05</v>
      </c>
      <c r="G1016" s="24">
        <f>TEXT(B1016,"mmm")</f>
        <v/>
      </c>
      <c r="H1016" s="24">
        <f>HLOOKUP(C1016,Lookups!$H$4:$K$5,2,FALSE)</f>
        <v/>
      </c>
      <c r="I1016" s="24">
        <f>VLOOKUP(D1016,Lookups!$A$5:$E$10,2,FALSE)</f>
        <v/>
      </c>
      <c r="J1016" s="24">
        <f>VLOOKUP(D1016,Lookups!$A$5:$E$10,3,FALSE)</f>
        <v/>
      </c>
      <c r="K1016" s="25">
        <f>VLOOKUP(D1016,Lookups!$A$5:$E$10,4,FALSE)</f>
        <v/>
      </c>
      <c r="L1016" s="25">
        <f>E1016*K1016*(1-F1016)</f>
        <v/>
      </c>
      <c r="M1016" s="25">
        <f>L1016*VLOOKUP(D1016,Lookups!$A$5:$E$10,5,FALSE)</f>
        <v/>
      </c>
    </row>
    <row r="1017">
      <c r="A1017" s="21" t="inlineStr">
        <is>
          <t>INV-10369</t>
        </is>
      </c>
      <c r="B1017" s="22" t="n">
        <v>45966</v>
      </c>
      <c r="C1017" s="21" t="inlineStr">
        <is>
          <t>R03</t>
        </is>
      </c>
      <c r="D1017" s="21" t="inlineStr">
        <is>
          <t>P200</t>
        </is>
      </c>
      <c r="E1017" s="21" t="n">
        <v>11</v>
      </c>
      <c r="F1017" s="23" t="n">
        <v>0</v>
      </c>
      <c r="G1017" s="24">
        <f>TEXT(B1017,"mmm")</f>
        <v/>
      </c>
      <c r="H1017" s="24">
        <f>HLOOKUP(C1017,Lookups!$H$4:$K$5,2,FALSE)</f>
        <v/>
      </c>
      <c r="I1017" s="24">
        <f>VLOOKUP(D1017,Lookups!$A$5:$E$10,2,FALSE)</f>
        <v/>
      </c>
      <c r="J1017" s="24">
        <f>VLOOKUP(D1017,Lookups!$A$5:$E$10,3,FALSE)</f>
        <v/>
      </c>
      <c r="K1017" s="25">
        <f>VLOOKUP(D1017,Lookups!$A$5:$E$10,4,FALSE)</f>
        <v/>
      </c>
      <c r="L1017" s="25">
        <f>E1017*K1017*(1-F1017)</f>
        <v/>
      </c>
      <c r="M1017" s="25">
        <f>L1017*VLOOKUP(D1017,Lookups!$A$5:$E$10,5,FALSE)</f>
        <v/>
      </c>
    </row>
    <row r="1018">
      <c r="A1018" s="21" t="inlineStr">
        <is>
          <t>INV-10371</t>
        </is>
      </c>
      <c r="B1018" s="22" t="n">
        <v>45966</v>
      </c>
      <c r="C1018" s="21" t="inlineStr">
        <is>
          <t>R04</t>
        </is>
      </c>
      <c r="D1018" s="21" t="inlineStr">
        <is>
          <t>P600</t>
        </is>
      </c>
      <c r="E1018" s="21" t="n">
        <v>6</v>
      </c>
      <c r="F1018" s="23" t="n">
        <v>0.1</v>
      </c>
      <c r="G1018" s="24">
        <f>TEXT(B1018,"mmm")</f>
        <v/>
      </c>
      <c r="H1018" s="24">
        <f>HLOOKUP(C1018,Lookups!$H$4:$K$5,2,FALSE)</f>
        <v/>
      </c>
      <c r="I1018" s="24">
        <f>VLOOKUP(D1018,Lookups!$A$5:$E$10,2,FALSE)</f>
        <v/>
      </c>
      <c r="J1018" s="24">
        <f>VLOOKUP(D1018,Lookups!$A$5:$E$10,3,FALSE)</f>
        <v/>
      </c>
      <c r="K1018" s="25">
        <f>VLOOKUP(D1018,Lookups!$A$5:$E$10,4,FALSE)</f>
        <v/>
      </c>
      <c r="L1018" s="25">
        <f>E1018*K1018*(1-F1018)</f>
        <v/>
      </c>
      <c r="M1018" s="25">
        <f>L1018*VLOOKUP(D1018,Lookups!$A$5:$E$10,5,FALSE)</f>
        <v/>
      </c>
    </row>
    <row r="1019">
      <c r="A1019" s="21" t="inlineStr">
        <is>
          <t>INV-10566</t>
        </is>
      </c>
      <c r="B1019" s="22" t="n">
        <v>45966</v>
      </c>
      <c r="C1019" s="21" t="inlineStr">
        <is>
          <t>R02</t>
        </is>
      </c>
      <c r="D1019" s="21" t="inlineStr">
        <is>
          <t>P600</t>
        </is>
      </c>
      <c r="E1019" s="21" t="n">
        <v>16</v>
      </c>
      <c r="F1019" s="23" t="n">
        <v>0.05</v>
      </c>
      <c r="G1019" s="24">
        <f>TEXT(B1019,"mmm")</f>
        <v/>
      </c>
      <c r="H1019" s="24">
        <f>HLOOKUP(C1019,Lookups!$H$4:$K$5,2,FALSE)</f>
        <v/>
      </c>
      <c r="I1019" s="24">
        <f>VLOOKUP(D1019,Lookups!$A$5:$E$10,2,FALSE)</f>
        <v/>
      </c>
      <c r="J1019" s="24">
        <f>VLOOKUP(D1019,Lookups!$A$5:$E$10,3,FALSE)</f>
        <v/>
      </c>
      <c r="K1019" s="25">
        <f>VLOOKUP(D1019,Lookups!$A$5:$E$10,4,FALSE)</f>
        <v/>
      </c>
      <c r="L1019" s="25">
        <f>E1019*K1019*(1-F1019)</f>
        <v/>
      </c>
      <c r="M1019" s="25">
        <f>L1019*VLOOKUP(D1019,Lookups!$A$5:$E$10,5,FALSE)</f>
        <v/>
      </c>
    </row>
    <row r="1020">
      <c r="A1020" s="21" t="inlineStr">
        <is>
          <t>INV-10977</t>
        </is>
      </c>
      <c r="B1020" s="22" t="n">
        <v>45966</v>
      </c>
      <c r="C1020" s="21" t="inlineStr">
        <is>
          <t>R01</t>
        </is>
      </c>
      <c r="D1020" s="21" t="inlineStr">
        <is>
          <t>P600</t>
        </is>
      </c>
      <c r="E1020" s="21" t="n">
        <v>22</v>
      </c>
      <c r="F1020" s="23" t="n">
        <v>0</v>
      </c>
      <c r="G1020" s="24">
        <f>TEXT(B1020,"mmm")</f>
        <v/>
      </c>
      <c r="H1020" s="24">
        <f>HLOOKUP(C1020,Lookups!$H$4:$K$5,2,FALSE)</f>
        <v/>
      </c>
      <c r="I1020" s="24">
        <f>VLOOKUP(D1020,Lookups!$A$5:$E$10,2,FALSE)</f>
        <v/>
      </c>
      <c r="J1020" s="24">
        <f>VLOOKUP(D1020,Lookups!$A$5:$E$10,3,FALSE)</f>
        <v/>
      </c>
      <c r="K1020" s="25">
        <f>VLOOKUP(D1020,Lookups!$A$5:$E$10,4,FALSE)</f>
        <v/>
      </c>
      <c r="L1020" s="25">
        <f>E1020*K1020*(1-F1020)</f>
        <v/>
      </c>
      <c r="M1020" s="25">
        <f>L1020*VLOOKUP(D1020,Lookups!$A$5:$E$10,5,FALSE)</f>
        <v/>
      </c>
    </row>
    <row r="1021">
      <c r="A1021" s="21" t="inlineStr">
        <is>
          <t>INV-10072</t>
        </is>
      </c>
      <c r="B1021" s="22" t="n">
        <v>45967</v>
      </c>
      <c r="C1021" s="21" t="inlineStr">
        <is>
          <t>R03</t>
        </is>
      </c>
      <c r="D1021" s="21" t="inlineStr">
        <is>
          <t>P200</t>
        </is>
      </c>
      <c r="E1021" s="21" t="n">
        <v>7</v>
      </c>
      <c r="F1021" s="23" t="n">
        <v>0.05</v>
      </c>
      <c r="G1021" s="24">
        <f>TEXT(B1021,"mmm")</f>
        <v/>
      </c>
      <c r="H1021" s="24">
        <f>HLOOKUP(C1021,Lookups!$H$4:$K$5,2,FALSE)</f>
        <v/>
      </c>
      <c r="I1021" s="24">
        <f>VLOOKUP(D1021,Lookups!$A$5:$E$10,2,FALSE)</f>
        <v/>
      </c>
      <c r="J1021" s="24">
        <f>VLOOKUP(D1021,Lookups!$A$5:$E$10,3,FALSE)</f>
        <v/>
      </c>
      <c r="K1021" s="25">
        <f>VLOOKUP(D1021,Lookups!$A$5:$E$10,4,FALSE)</f>
        <v/>
      </c>
      <c r="L1021" s="25">
        <f>E1021*K1021*(1-F1021)</f>
        <v/>
      </c>
      <c r="M1021" s="25">
        <f>L1021*VLOOKUP(D1021,Lookups!$A$5:$E$10,5,FALSE)</f>
        <v/>
      </c>
    </row>
    <row r="1022">
      <c r="A1022" s="21" t="inlineStr">
        <is>
          <t>INV-10180</t>
        </is>
      </c>
      <c r="B1022" s="22" t="n">
        <v>45967</v>
      </c>
      <c r="C1022" s="21" t="inlineStr">
        <is>
          <t>R01</t>
        </is>
      </c>
      <c r="D1022" s="21" t="inlineStr">
        <is>
          <t>P300</t>
        </is>
      </c>
      <c r="E1022" s="21" t="n">
        <v>3</v>
      </c>
      <c r="F1022" s="23" t="n">
        <v>0</v>
      </c>
      <c r="G1022" s="24">
        <f>TEXT(B1022,"mmm")</f>
        <v/>
      </c>
      <c r="H1022" s="24">
        <f>HLOOKUP(C1022,Lookups!$H$4:$K$5,2,FALSE)</f>
        <v/>
      </c>
      <c r="I1022" s="24">
        <f>VLOOKUP(D1022,Lookups!$A$5:$E$10,2,FALSE)</f>
        <v/>
      </c>
      <c r="J1022" s="24">
        <f>VLOOKUP(D1022,Lookups!$A$5:$E$10,3,FALSE)</f>
        <v/>
      </c>
      <c r="K1022" s="25">
        <f>VLOOKUP(D1022,Lookups!$A$5:$E$10,4,FALSE)</f>
        <v/>
      </c>
      <c r="L1022" s="25">
        <f>E1022*K1022*(1-F1022)</f>
        <v/>
      </c>
      <c r="M1022" s="25">
        <f>L1022*VLOOKUP(D1022,Lookups!$A$5:$E$10,5,FALSE)</f>
        <v/>
      </c>
    </row>
    <row r="1023">
      <c r="A1023" s="21" t="inlineStr">
        <is>
          <t>INV-10337</t>
        </is>
      </c>
      <c r="B1023" s="22" t="n">
        <v>45967</v>
      </c>
      <c r="C1023" s="21" t="inlineStr">
        <is>
          <t>R03</t>
        </is>
      </c>
      <c r="D1023" s="21" t="inlineStr">
        <is>
          <t>P200</t>
        </is>
      </c>
      <c r="E1023" s="21" t="n">
        <v>2</v>
      </c>
      <c r="F1023" s="23" t="n">
        <v>0.1</v>
      </c>
      <c r="G1023" s="24">
        <f>TEXT(B1023,"mmm")</f>
        <v/>
      </c>
      <c r="H1023" s="24">
        <f>HLOOKUP(C1023,Lookups!$H$4:$K$5,2,FALSE)</f>
        <v/>
      </c>
      <c r="I1023" s="24">
        <f>VLOOKUP(D1023,Lookups!$A$5:$E$10,2,FALSE)</f>
        <v/>
      </c>
      <c r="J1023" s="24">
        <f>VLOOKUP(D1023,Lookups!$A$5:$E$10,3,FALSE)</f>
        <v/>
      </c>
      <c r="K1023" s="25">
        <f>VLOOKUP(D1023,Lookups!$A$5:$E$10,4,FALSE)</f>
        <v/>
      </c>
      <c r="L1023" s="25">
        <f>E1023*K1023*(1-F1023)</f>
        <v/>
      </c>
      <c r="M1023" s="25">
        <f>L1023*VLOOKUP(D1023,Lookups!$A$5:$E$10,5,FALSE)</f>
        <v/>
      </c>
    </row>
    <row r="1024">
      <c r="A1024" s="21" t="inlineStr">
        <is>
          <t>INV-10471</t>
        </is>
      </c>
      <c r="B1024" s="22" t="n">
        <v>45968</v>
      </c>
      <c r="C1024" s="21" t="inlineStr">
        <is>
          <t>R04</t>
        </is>
      </c>
      <c r="D1024" s="21" t="inlineStr">
        <is>
          <t>P300</t>
        </is>
      </c>
      <c r="E1024" s="21" t="n">
        <v>23</v>
      </c>
      <c r="F1024" s="23" t="n">
        <v>0.1</v>
      </c>
      <c r="G1024" s="24">
        <f>TEXT(B1024,"mmm")</f>
        <v/>
      </c>
      <c r="H1024" s="24">
        <f>HLOOKUP(C1024,Lookups!$H$4:$K$5,2,FALSE)</f>
        <v/>
      </c>
      <c r="I1024" s="24">
        <f>VLOOKUP(D1024,Lookups!$A$5:$E$10,2,FALSE)</f>
        <v/>
      </c>
      <c r="J1024" s="24">
        <f>VLOOKUP(D1024,Lookups!$A$5:$E$10,3,FALSE)</f>
        <v/>
      </c>
      <c r="K1024" s="25">
        <f>VLOOKUP(D1024,Lookups!$A$5:$E$10,4,FALSE)</f>
        <v/>
      </c>
      <c r="L1024" s="25">
        <f>E1024*K1024*(1-F1024)</f>
        <v/>
      </c>
      <c r="M1024" s="25">
        <f>L1024*VLOOKUP(D1024,Lookups!$A$5:$E$10,5,FALSE)</f>
        <v/>
      </c>
    </row>
    <row r="1025">
      <c r="A1025" s="21" t="inlineStr">
        <is>
          <t>INV-10753</t>
        </is>
      </c>
      <c r="B1025" s="22" t="n">
        <v>45968</v>
      </c>
      <c r="C1025" s="21" t="inlineStr">
        <is>
          <t>R02</t>
        </is>
      </c>
      <c r="D1025" s="21" t="inlineStr">
        <is>
          <t>P400</t>
        </is>
      </c>
      <c r="E1025" s="21" t="n">
        <v>2</v>
      </c>
      <c r="F1025" s="23" t="n">
        <v>0</v>
      </c>
      <c r="G1025" s="24">
        <f>TEXT(B1025,"mmm")</f>
        <v/>
      </c>
      <c r="H1025" s="24">
        <f>HLOOKUP(C1025,Lookups!$H$4:$K$5,2,FALSE)</f>
        <v/>
      </c>
      <c r="I1025" s="24">
        <f>VLOOKUP(D1025,Lookups!$A$5:$E$10,2,FALSE)</f>
        <v/>
      </c>
      <c r="J1025" s="24">
        <f>VLOOKUP(D1025,Lookups!$A$5:$E$10,3,FALSE)</f>
        <v/>
      </c>
      <c r="K1025" s="25">
        <f>VLOOKUP(D1025,Lookups!$A$5:$E$10,4,FALSE)</f>
        <v/>
      </c>
      <c r="L1025" s="25">
        <f>E1025*K1025*(1-F1025)</f>
        <v/>
      </c>
      <c r="M1025" s="25">
        <f>L1025*VLOOKUP(D1025,Lookups!$A$5:$E$10,5,FALSE)</f>
        <v/>
      </c>
    </row>
    <row r="1026">
      <c r="A1026" s="21" t="inlineStr">
        <is>
          <t>INV-10016</t>
        </is>
      </c>
      <c r="B1026" s="22" t="n">
        <v>45969</v>
      </c>
      <c r="C1026" s="21" t="inlineStr">
        <is>
          <t>R02</t>
        </is>
      </c>
      <c r="D1026" s="21" t="inlineStr">
        <is>
          <t>P600</t>
        </is>
      </c>
      <c r="E1026" s="21" t="n">
        <v>18</v>
      </c>
      <c r="F1026" s="23" t="n">
        <v>0</v>
      </c>
      <c r="G1026" s="24">
        <f>TEXT(B1026,"mmm")</f>
        <v/>
      </c>
      <c r="H1026" s="24">
        <f>HLOOKUP(C1026,Lookups!$H$4:$K$5,2,FALSE)</f>
        <v/>
      </c>
      <c r="I1026" s="24">
        <f>VLOOKUP(D1026,Lookups!$A$5:$E$10,2,FALSE)</f>
        <v/>
      </c>
      <c r="J1026" s="24">
        <f>VLOOKUP(D1026,Lookups!$A$5:$E$10,3,FALSE)</f>
        <v/>
      </c>
      <c r="K1026" s="25">
        <f>VLOOKUP(D1026,Lookups!$A$5:$E$10,4,FALSE)</f>
        <v/>
      </c>
      <c r="L1026" s="25">
        <f>E1026*K1026*(1-F1026)</f>
        <v/>
      </c>
      <c r="M1026" s="25">
        <f>L1026*VLOOKUP(D1026,Lookups!$A$5:$E$10,5,FALSE)</f>
        <v/>
      </c>
    </row>
    <row r="1027">
      <c r="A1027" s="21" t="inlineStr">
        <is>
          <t>INV-10280</t>
        </is>
      </c>
      <c r="B1027" s="22" t="n">
        <v>45969</v>
      </c>
      <c r="C1027" s="21" t="inlineStr">
        <is>
          <t>R03</t>
        </is>
      </c>
      <c r="D1027" s="21" t="inlineStr">
        <is>
          <t>P600</t>
        </is>
      </c>
      <c r="E1027" s="21" t="n">
        <v>1</v>
      </c>
      <c r="F1027" s="23" t="n">
        <v>0</v>
      </c>
      <c r="G1027" s="24">
        <f>TEXT(B1027,"mmm")</f>
        <v/>
      </c>
      <c r="H1027" s="24">
        <f>HLOOKUP(C1027,Lookups!$H$4:$K$5,2,FALSE)</f>
        <v/>
      </c>
      <c r="I1027" s="24">
        <f>VLOOKUP(D1027,Lookups!$A$5:$E$10,2,FALSE)</f>
        <v/>
      </c>
      <c r="J1027" s="24">
        <f>VLOOKUP(D1027,Lookups!$A$5:$E$10,3,FALSE)</f>
        <v/>
      </c>
      <c r="K1027" s="25">
        <f>VLOOKUP(D1027,Lookups!$A$5:$E$10,4,FALSE)</f>
        <v/>
      </c>
      <c r="L1027" s="25">
        <f>E1027*K1027*(1-F1027)</f>
        <v/>
      </c>
      <c r="M1027" s="25">
        <f>L1027*VLOOKUP(D1027,Lookups!$A$5:$E$10,5,FALSE)</f>
        <v/>
      </c>
    </row>
    <row r="1028">
      <c r="A1028" s="21" t="inlineStr">
        <is>
          <t>INV-10104</t>
        </is>
      </c>
      <c r="B1028" s="22" t="n">
        <v>45970</v>
      </c>
      <c r="C1028" s="21" t="inlineStr">
        <is>
          <t>R04</t>
        </is>
      </c>
      <c r="D1028" s="21" t="inlineStr">
        <is>
          <t>P100</t>
        </is>
      </c>
      <c r="E1028" s="21" t="n">
        <v>14</v>
      </c>
      <c r="F1028" s="23" t="n">
        <v>0</v>
      </c>
      <c r="G1028" s="24">
        <f>TEXT(B1028,"mmm")</f>
        <v/>
      </c>
      <c r="H1028" s="24">
        <f>HLOOKUP(C1028,Lookups!$H$4:$K$5,2,FALSE)</f>
        <v/>
      </c>
      <c r="I1028" s="24">
        <f>VLOOKUP(D1028,Lookups!$A$5:$E$10,2,FALSE)</f>
        <v/>
      </c>
      <c r="J1028" s="24">
        <f>VLOOKUP(D1028,Lookups!$A$5:$E$10,3,FALSE)</f>
        <v/>
      </c>
      <c r="K1028" s="25">
        <f>VLOOKUP(D1028,Lookups!$A$5:$E$10,4,FALSE)</f>
        <v/>
      </c>
      <c r="L1028" s="25">
        <f>E1028*K1028*(1-F1028)</f>
        <v/>
      </c>
      <c r="M1028" s="25">
        <f>L1028*VLOOKUP(D1028,Lookups!$A$5:$E$10,5,FALSE)</f>
        <v/>
      </c>
    </row>
    <row r="1029">
      <c r="A1029" s="21" t="inlineStr">
        <is>
          <t>INV-10647</t>
        </is>
      </c>
      <c r="B1029" s="22" t="n">
        <v>45970</v>
      </c>
      <c r="C1029" s="21" t="inlineStr">
        <is>
          <t>R02</t>
        </is>
      </c>
      <c r="D1029" s="21" t="inlineStr">
        <is>
          <t>P600</t>
        </is>
      </c>
      <c r="E1029" s="21" t="n">
        <v>15</v>
      </c>
      <c r="F1029" s="23" t="n">
        <v>0.05</v>
      </c>
      <c r="G1029" s="24">
        <f>TEXT(B1029,"mmm")</f>
        <v/>
      </c>
      <c r="H1029" s="24">
        <f>HLOOKUP(C1029,Lookups!$H$4:$K$5,2,FALSE)</f>
        <v/>
      </c>
      <c r="I1029" s="24">
        <f>VLOOKUP(D1029,Lookups!$A$5:$E$10,2,FALSE)</f>
        <v/>
      </c>
      <c r="J1029" s="24">
        <f>VLOOKUP(D1029,Lookups!$A$5:$E$10,3,FALSE)</f>
        <v/>
      </c>
      <c r="K1029" s="25">
        <f>VLOOKUP(D1029,Lookups!$A$5:$E$10,4,FALSE)</f>
        <v/>
      </c>
      <c r="L1029" s="25">
        <f>E1029*K1029*(1-F1029)</f>
        <v/>
      </c>
      <c r="M1029" s="25">
        <f>L1029*VLOOKUP(D1029,Lookups!$A$5:$E$10,5,FALSE)</f>
        <v/>
      </c>
    </row>
    <row r="1030">
      <c r="A1030" s="21" t="inlineStr">
        <is>
          <t>INV-10069</t>
        </is>
      </c>
      <c r="B1030" s="22" t="n">
        <v>45971</v>
      </c>
      <c r="C1030" s="21" t="inlineStr">
        <is>
          <t>R01</t>
        </is>
      </c>
      <c r="D1030" s="21" t="inlineStr">
        <is>
          <t>P600</t>
        </is>
      </c>
      <c r="E1030" s="21" t="n">
        <v>22</v>
      </c>
      <c r="F1030" s="23" t="n">
        <v>0.05</v>
      </c>
      <c r="G1030" s="24">
        <f>TEXT(B1030,"mmm")</f>
        <v/>
      </c>
      <c r="H1030" s="24">
        <f>HLOOKUP(C1030,Lookups!$H$4:$K$5,2,FALSE)</f>
        <v/>
      </c>
      <c r="I1030" s="24">
        <f>VLOOKUP(D1030,Lookups!$A$5:$E$10,2,FALSE)</f>
        <v/>
      </c>
      <c r="J1030" s="24">
        <f>VLOOKUP(D1030,Lookups!$A$5:$E$10,3,FALSE)</f>
        <v/>
      </c>
      <c r="K1030" s="25">
        <f>VLOOKUP(D1030,Lookups!$A$5:$E$10,4,FALSE)</f>
        <v/>
      </c>
      <c r="L1030" s="25">
        <f>E1030*K1030*(1-F1030)</f>
        <v/>
      </c>
      <c r="M1030" s="25">
        <f>L1030*VLOOKUP(D1030,Lookups!$A$5:$E$10,5,FALSE)</f>
        <v/>
      </c>
    </row>
    <row r="1031">
      <c r="A1031" s="21" t="inlineStr">
        <is>
          <t>INV-10110</t>
        </is>
      </c>
      <c r="B1031" s="22" t="n">
        <v>45971</v>
      </c>
      <c r="C1031" s="21" t="inlineStr">
        <is>
          <t>R04</t>
        </is>
      </c>
      <c r="D1031" s="21" t="inlineStr">
        <is>
          <t>P600</t>
        </is>
      </c>
      <c r="E1031" s="21" t="n">
        <v>18</v>
      </c>
      <c r="F1031" s="23" t="n">
        <v>0.1</v>
      </c>
      <c r="G1031" s="24">
        <f>TEXT(B1031,"mmm")</f>
        <v/>
      </c>
      <c r="H1031" s="24">
        <f>HLOOKUP(C1031,Lookups!$H$4:$K$5,2,FALSE)</f>
        <v/>
      </c>
      <c r="I1031" s="24">
        <f>VLOOKUP(D1031,Lookups!$A$5:$E$10,2,FALSE)</f>
        <v/>
      </c>
      <c r="J1031" s="24">
        <f>VLOOKUP(D1031,Lookups!$A$5:$E$10,3,FALSE)</f>
        <v/>
      </c>
      <c r="K1031" s="25">
        <f>VLOOKUP(D1031,Lookups!$A$5:$E$10,4,FALSE)</f>
        <v/>
      </c>
      <c r="L1031" s="25">
        <f>E1031*K1031*(1-F1031)</f>
        <v/>
      </c>
      <c r="M1031" s="25">
        <f>L1031*VLOOKUP(D1031,Lookups!$A$5:$E$10,5,FALSE)</f>
        <v/>
      </c>
    </row>
    <row r="1032">
      <c r="A1032" s="21" t="inlineStr">
        <is>
          <t>INV-10390</t>
        </is>
      </c>
      <c r="B1032" s="22" t="n">
        <v>45971</v>
      </c>
      <c r="C1032" s="21" t="inlineStr">
        <is>
          <t>R01</t>
        </is>
      </c>
      <c r="D1032" s="21" t="inlineStr">
        <is>
          <t>P100</t>
        </is>
      </c>
      <c r="E1032" s="21" t="n">
        <v>10</v>
      </c>
      <c r="F1032" s="23" t="n">
        <v>0.1</v>
      </c>
      <c r="G1032" s="24">
        <f>TEXT(B1032,"mmm")</f>
        <v/>
      </c>
      <c r="H1032" s="24">
        <f>HLOOKUP(C1032,Lookups!$H$4:$K$5,2,FALSE)</f>
        <v/>
      </c>
      <c r="I1032" s="24">
        <f>VLOOKUP(D1032,Lookups!$A$5:$E$10,2,FALSE)</f>
        <v/>
      </c>
      <c r="J1032" s="24">
        <f>VLOOKUP(D1032,Lookups!$A$5:$E$10,3,FALSE)</f>
        <v/>
      </c>
      <c r="K1032" s="25">
        <f>VLOOKUP(D1032,Lookups!$A$5:$E$10,4,FALSE)</f>
        <v/>
      </c>
      <c r="L1032" s="25">
        <f>E1032*K1032*(1-F1032)</f>
        <v/>
      </c>
      <c r="M1032" s="25">
        <f>L1032*VLOOKUP(D1032,Lookups!$A$5:$E$10,5,FALSE)</f>
        <v/>
      </c>
    </row>
    <row r="1033">
      <c r="A1033" s="21" t="inlineStr">
        <is>
          <t>INV-10864</t>
        </is>
      </c>
      <c r="B1033" s="22" t="n">
        <v>45971</v>
      </c>
      <c r="C1033" s="21" t="inlineStr">
        <is>
          <t>R02</t>
        </is>
      </c>
      <c r="D1033" s="21" t="inlineStr">
        <is>
          <t>P100</t>
        </is>
      </c>
      <c r="E1033" s="21" t="n">
        <v>16</v>
      </c>
      <c r="F1033" s="23" t="n">
        <v>0.1</v>
      </c>
      <c r="G1033" s="24">
        <f>TEXT(B1033,"mmm")</f>
        <v/>
      </c>
      <c r="H1033" s="24">
        <f>HLOOKUP(C1033,Lookups!$H$4:$K$5,2,FALSE)</f>
        <v/>
      </c>
      <c r="I1033" s="24">
        <f>VLOOKUP(D1033,Lookups!$A$5:$E$10,2,FALSE)</f>
        <v/>
      </c>
      <c r="J1033" s="24">
        <f>VLOOKUP(D1033,Lookups!$A$5:$E$10,3,FALSE)</f>
        <v/>
      </c>
      <c r="K1033" s="25">
        <f>VLOOKUP(D1033,Lookups!$A$5:$E$10,4,FALSE)</f>
        <v/>
      </c>
      <c r="L1033" s="25">
        <f>E1033*K1033*(1-F1033)</f>
        <v/>
      </c>
      <c r="M1033" s="25">
        <f>L1033*VLOOKUP(D1033,Lookups!$A$5:$E$10,5,FALSE)</f>
        <v/>
      </c>
    </row>
    <row r="1034">
      <c r="A1034" s="21" t="inlineStr">
        <is>
          <t>INV-11122</t>
        </is>
      </c>
      <c r="B1034" s="22" t="n">
        <v>45971</v>
      </c>
      <c r="C1034" s="21" t="inlineStr">
        <is>
          <t>R03</t>
        </is>
      </c>
      <c r="D1034" s="21" t="inlineStr">
        <is>
          <t>P300</t>
        </is>
      </c>
      <c r="E1034" s="21" t="n">
        <v>14</v>
      </c>
      <c r="F1034" s="23" t="n">
        <v>0.05</v>
      </c>
      <c r="G1034" s="24">
        <f>TEXT(B1034,"mmm")</f>
        <v/>
      </c>
      <c r="H1034" s="24">
        <f>HLOOKUP(C1034,Lookups!$H$4:$K$5,2,FALSE)</f>
        <v/>
      </c>
      <c r="I1034" s="24">
        <f>VLOOKUP(D1034,Lookups!$A$5:$E$10,2,FALSE)</f>
        <v/>
      </c>
      <c r="J1034" s="24">
        <f>VLOOKUP(D1034,Lookups!$A$5:$E$10,3,FALSE)</f>
        <v/>
      </c>
      <c r="K1034" s="25">
        <f>VLOOKUP(D1034,Lookups!$A$5:$E$10,4,FALSE)</f>
        <v/>
      </c>
      <c r="L1034" s="25">
        <f>E1034*K1034*(1-F1034)</f>
        <v/>
      </c>
      <c r="M1034" s="25">
        <f>L1034*VLOOKUP(D1034,Lookups!$A$5:$E$10,5,FALSE)</f>
        <v/>
      </c>
    </row>
    <row r="1035">
      <c r="A1035" s="21" t="inlineStr">
        <is>
          <t>INV-10373</t>
        </is>
      </c>
      <c r="B1035" s="22" t="n">
        <v>45972</v>
      </c>
      <c r="C1035" s="21" t="inlineStr">
        <is>
          <t>R03</t>
        </is>
      </c>
      <c r="D1035" s="21" t="inlineStr">
        <is>
          <t>P400</t>
        </is>
      </c>
      <c r="E1035" s="21" t="n">
        <v>21</v>
      </c>
      <c r="F1035" s="23" t="n">
        <v>0</v>
      </c>
      <c r="G1035" s="24">
        <f>TEXT(B1035,"mmm")</f>
        <v/>
      </c>
      <c r="H1035" s="24">
        <f>HLOOKUP(C1035,Lookups!$H$4:$K$5,2,FALSE)</f>
        <v/>
      </c>
      <c r="I1035" s="24">
        <f>VLOOKUP(D1035,Lookups!$A$5:$E$10,2,FALSE)</f>
        <v/>
      </c>
      <c r="J1035" s="24">
        <f>VLOOKUP(D1035,Lookups!$A$5:$E$10,3,FALSE)</f>
        <v/>
      </c>
      <c r="K1035" s="25">
        <f>VLOOKUP(D1035,Lookups!$A$5:$E$10,4,FALSE)</f>
        <v/>
      </c>
      <c r="L1035" s="25">
        <f>E1035*K1035*(1-F1035)</f>
        <v/>
      </c>
      <c r="M1035" s="25">
        <f>L1035*VLOOKUP(D1035,Lookups!$A$5:$E$10,5,FALSE)</f>
        <v/>
      </c>
    </row>
    <row r="1036">
      <c r="A1036" s="21" t="inlineStr">
        <is>
          <t>INV-10398</t>
        </is>
      </c>
      <c r="B1036" s="22" t="n">
        <v>45972</v>
      </c>
      <c r="C1036" s="21" t="inlineStr">
        <is>
          <t>R01</t>
        </is>
      </c>
      <c r="D1036" s="21" t="inlineStr">
        <is>
          <t>P500</t>
        </is>
      </c>
      <c r="E1036" s="21" t="n">
        <v>17</v>
      </c>
      <c r="F1036" s="23" t="n">
        <v>0</v>
      </c>
      <c r="G1036" s="24">
        <f>TEXT(B1036,"mmm")</f>
        <v/>
      </c>
      <c r="H1036" s="24">
        <f>HLOOKUP(C1036,Lookups!$H$4:$K$5,2,FALSE)</f>
        <v/>
      </c>
      <c r="I1036" s="24">
        <f>VLOOKUP(D1036,Lookups!$A$5:$E$10,2,FALSE)</f>
        <v/>
      </c>
      <c r="J1036" s="24">
        <f>VLOOKUP(D1036,Lookups!$A$5:$E$10,3,FALSE)</f>
        <v/>
      </c>
      <c r="K1036" s="25">
        <f>VLOOKUP(D1036,Lookups!$A$5:$E$10,4,FALSE)</f>
        <v/>
      </c>
      <c r="L1036" s="25">
        <f>E1036*K1036*(1-F1036)</f>
        <v/>
      </c>
      <c r="M1036" s="25">
        <f>L1036*VLOOKUP(D1036,Lookups!$A$5:$E$10,5,FALSE)</f>
        <v/>
      </c>
    </row>
    <row r="1037">
      <c r="A1037" s="21" t="inlineStr">
        <is>
          <t>INV-10492</t>
        </is>
      </c>
      <c r="B1037" s="22" t="n">
        <v>45972</v>
      </c>
      <c r="C1037" s="21" t="inlineStr">
        <is>
          <t>R02</t>
        </is>
      </c>
      <c r="D1037" s="21" t="inlineStr">
        <is>
          <t>P100</t>
        </is>
      </c>
      <c r="E1037" s="21" t="n">
        <v>7</v>
      </c>
      <c r="F1037" s="23" t="n">
        <v>0</v>
      </c>
      <c r="G1037" s="24">
        <f>TEXT(B1037,"mmm")</f>
        <v/>
      </c>
      <c r="H1037" s="24">
        <f>HLOOKUP(C1037,Lookups!$H$4:$K$5,2,FALSE)</f>
        <v/>
      </c>
      <c r="I1037" s="24">
        <f>VLOOKUP(D1037,Lookups!$A$5:$E$10,2,FALSE)</f>
        <v/>
      </c>
      <c r="J1037" s="24">
        <f>VLOOKUP(D1037,Lookups!$A$5:$E$10,3,FALSE)</f>
        <v/>
      </c>
      <c r="K1037" s="25">
        <f>VLOOKUP(D1037,Lookups!$A$5:$E$10,4,FALSE)</f>
        <v/>
      </c>
      <c r="L1037" s="25">
        <f>E1037*K1037*(1-F1037)</f>
        <v/>
      </c>
      <c r="M1037" s="25">
        <f>L1037*VLOOKUP(D1037,Lookups!$A$5:$E$10,5,FALSE)</f>
        <v/>
      </c>
    </row>
    <row r="1038">
      <c r="A1038" s="21" t="inlineStr">
        <is>
          <t>INV-11035</t>
        </is>
      </c>
      <c r="B1038" s="22" t="n">
        <v>45972</v>
      </c>
      <c r="C1038" s="21" t="inlineStr">
        <is>
          <t>R01</t>
        </is>
      </c>
      <c r="D1038" s="21" t="inlineStr">
        <is>
          <t>P100</t>
        </is>
      </c>
      <c r="E1038" s="21" t="n">
        <v>16</v>
      </c>
      <c r="F1038" s="23" t="n">
        <v>0.05</v>
      </c>
      <c r="G1038" s="24">
        <f>TEXT(B1038,"mmm")</f>
        <v/>
      </c>
      <c r="H1038" s="24">
        <f>HLOOKUP(C1038,Lookups!$H$4:$K$5,2,FALSE)</f>
        <v/>
      </c>
      <c r="I1038" s="24">
        <f>VLOOKUP(D1038,Lookups!$A$5:$E$10,2,FALSE)</f>
        <v/>
      </c>
      <c r="J1038" s="24">
        <f>VLOOKUP(D1038,Lookups!$A$5:$E$10,3,FALSE)</f>
        <v/>
      </c>
      <c r="K1038" s="25">
        <f>VLOOKUP(D1038,Lookups!$A$5:$E$10,4,FALSE)</f>
        <v/>
      </c>
      <c r="L1038" s="25">
        <f>E1038*K1038*(1-F1038)</f>
        <v/>
      </c>
      <c r="M1038" s="25">
        <f>L1038*VLOOKUP(D1038,Lookups!$A$5:$E$10,5,FALSE)</f>
        <v/>
      </c>
    </row>
    <row r="1039">
      <c r="A1039" s="21" t="inlineStr">
        <is>
          <t>INV-10411</t>
        </is>
      </c>
      <c r="B1039" s="22" t="n">
        <v>45973</v>
      </c>
      <c r="C1039" s="21" t="inlineStr">
        <is>
          <t>R02</t>
        </is>
      </c>
      <c r="D1039" s="21" t="inlineStr">
        <is>
          <t>P400</t>
        </is>
      </c>
      <c r="E1039" s="21" t="n">
        <v>6</v>
      </c>
      <c r="F1039" s="23" t="n">
        <v>0.05</v>
      </c>
      <c r="G1039" s="24">
        <f>TEXT(B1039,"mmm")</f>
        <v/>
      </c>
      <c r="H1039" s="24">
        <f>HLOOKUP(C1039,Lookups!$H$4:$K$5,2,FALSE)</f>
        <v/>
      </c>
      <c r="I1039" s="24">
        <f>VLOOKUP(D1039,Lookups!$A$5:$E$10,2,FALSE)</f>
        <v/>
      </c>
      <c r="J1039" s="24">
        <f>VLOOKUP(D1039,Lookups!$A$5:$E$10,3,FALSE)</f>
        <v/>
      </c>
      <c r="K1039" s="25">
        <f>VLOOKUP(D1039,Lookups!$A$5:$E$10,4,FALSE)</f>
        <v/>
      </c>
      <c r="L1039" s="25">
        <f>E1039*K1039*(1-F1039)</f>
        <v/>
      </c>
      <c r="M1039" s="25">
        <f>L1039*VLOOKUP(D1039,Lookups!$A$5:$E$10,5,FALSE)</f>
        <v/>
      </c>
    </row>
    <row r="1040">
      <c r="A1040" s="21" t="inlineStr">
        <is>
          <t>INV-10427</t>
        </is>
      </c>
      <c r="B1040" s="22" t="n">
        <v>45973</v>
      </c>
      <c r="C1040" s="21" t="inlineStr">
        <is>
          <t>R03</t>
        </is>
      </c>
      <c r="D1040" s="21" t="inlineStr">
        <is>
          <t>P600</t>
        </is>
      </c>
      <c r="E1040" s="21" t="n">
        <v>19</v>
      </c>
      <c r="F1040" s="23" t="n">
        <v>0.05</v>
      </c>
      <c r="G1040" s="24">
        <f>TEXT(B1040,"mmm")</f>
        <v/>
      </c>
      <c r="H1040" s="24">
        <f>HLOOKUP(C1040,Lookups!$H$4:$K$5,2,FALSE)</f>
        <v/>
      </c>
      <c r="I1040" s="24">
        <f>VLOOKUP(D1040,Lookups!$A$5:$E$10,2,FALSE)</f>
        <v/>
      </c>
      <c r="J1040" s="24">
        <f>VLOOKUP(D1040,Lookups!$A$5:$E$10,3,FALSE)</f>
        <v/>
      </c>
      <c r="K1040" s="25">
        <f>VLOOKUP(D1040,Lookups!$A$5:$E$10,4,FALSE)</f>
        <v/>
      </c>
      <c r="L1040" s="25">
        <f>E1040*K1040*(1-F1040)</f>
        <v/>
      </c>
      <c r="M1040" s="25">
        <f>L1040*VLOOKUP(D1040,Lookups!$A$5:$E$10,5,FALSE)</f>
        <v/>
      </c>
    </row>
    <row r="1041">
      <c r="A1041" s="21" t="inlineStr">
        <is>
          <t>INV-11130</t>
        </is>
      </c>
      <c r="B1041" s="22" t="n">
        <v>45973</v>
      </c>
      <c r="C1041" s="21" t="inlineStr">
        <is>
          <t>R01</t>
        </is>
      </c>
      <c r="D1041" s="21" t="inlineStr">
        <is>
          <t>P300</t>
        </is>
      </c>
      <c r="E1041" s="21" t="n">
        <v>24</v>
      </c>
      <c r="F1041" s="23" t="n">
        <v>0</v>
      </c>
      <c r="G1041" s="24">
        <f>TEXT(B1041,"mmm")</f>
        <v/>
      </c>
      <c r="H1041" s="24">
        <f>HLOOKUP(C1041,Lookups!$H$4:$K$5,2,FALSE)</f>
        <v/>
      </c>
      <c r="I1041" s="24">
        <f>VLOOKUP(D1041,Lookups!$A$5:$E$10,2,FALSE)</f>
        <v/>
      </c>
      <c r="J1041" s="24">
        <f>VLOOKUP(D1041,Lookups!$A$5:$E$10,3,FALSE)</f>
        <v/>
      </c>
      <c r="K1041" s="25">
        <f>VLOOKUP(D1041,Lookups!$A$5:$E$10,4,FALSE)</f>
        <v/>
      </c>
      <c r="L1041" s="25">
        <f>E1041*K1041*(1-F1041)</f>
        <v/>
      </c>
      <c r="M1041" s="25">
        <f>L1041*VLOOKUP(D1041,Lookups!$A$5:$E$10,5,FALSE)</f>
        <v/>
      </c>
    </row>
    <row r="1042">
      <c r="A1042" s="21" t="inlineStr">
        <is>
          <t>INV-10330</t>
        </is>
      </c>
      <c r="B1042" s="22" t="n">
        <v>45974</v>
      </c>
      <c r="C1042" s="21" t="inlineStr">
        <is>
          <t>R04</t>
        </is>
      </c>
      <c r="D1042" s="21" t="inlineStr">
        <is>
          <t>P200</t>
        </is>
      </c>
      <c r="E1042" s="21" t="n">
        <v>5</v>
      </c>
      <c r="F1042" s="23" t="n">
        <v>0</v>
      </c>
      <c r="G1042" s="24">
        <f>TEXT(B1042,"mmm")</f>
        <v/>
      </c>
      <c r="H1042" s="24">
        <f>HLOOKUP(C1042,Lookups!$H$4:$K$5,2,FALSE)</f>
        <v/>
      </c>
      <c r="I1042" s="24">
        <f>VLOOKUP(D1042,Lookups!$A$5:$E$10,2,FALSE)</f>
        <v/>
      </c>
      <c r="J1042" s="24">
        <f>VLOOKUP(D1042,Lookups!$A$5:$E$10,3,FALSE)</f>
        <v/>
      </c>
      <c r="K1042" s="25">
        <f>VLOOKUP(D1042,Lookups!$A$5:$E$10,4,FALSE)</f>
        <v/>
      </c>
      <c r="L1042" s="25">
        <f>E1042*K1042*(1-F1042)</f>
        <v/>
      </c>
      <c r="M1042" s="25">
        <f>L1042*VLOOKUP(D1042,Lookups!$A$5:$E$10,5,FALSE)</f>
        <v/>
      </c>
    </row>
    <row r="1043">
      <c r="A1043" s="21" t="inlineStr">
        <is>
          <t>INV-10526</t>
        </is>
      </c>
      <c r="B1043" s="22" t="n">
        <v>45974</v>
      </c>
      <c r="C1043" s="21" t="inlineStr">
        <is>
          <t>R04</t>
        </is>
      </c>
      <c r="D1043" s="21" t="inlineStr">
        <is>
          <t>P600</t>
        </is>
      </c>
      <c r="E1043" s="21" t="n">
        <v>22</v>
      </c>
      <c r="F1043" s="23" t="n">
        <v>0.1</v>
      </c>
      <c r="G1043" s="24">
        <f>TEXT(B1043,"mmm")</f>
        <v/>
      </c>
      <c r="H1043" s="24">
        <f>HLOOKUP(C1043,Lookups!$H$4:$K$5,2,FALSE)</f>
        <v/>
      </c>
      <c r="I1043" s="24">
        <f>VLOOKUP(D1043,Lookups!$A$5:$E$10,2,FALSE)</f>
        <v/>
      </c>
      <c r="J1043" s="24">
        <f>VLOOKUP(D1043,Lookups!$A$5:$E$10,3,FALSE)</f>
        <v/>
      </c>
      <c r="K1043" s="25">
        <f>VLOOKUP(D1043,Lookups!$A$5:$E$10,4,FALSE)</f>
        <v/>
      </c>
      <c r="L1043" s="25">
        <f>E1043*K1043*(1-F1043)</f>
        <v/>
      </c>
      <c r="M1043" s="25">
        <f>L1043*VLOOKUP(D1043,Lookups!$A$5:$E$10,5,FALSE)</f>
        <v/>
      </c>
    </row>
    <row r="1044">
      <c r="A1044" s="21" t="inlineStr">
        <is>
          <t>INV-10062</t>
        </is>
      </c>
      <c r="B1044" s="22" t="n">
        <v>45975</v>
      </c>
      <c r="C1044" s="21" t="inlineStr">
        <is>
          <t>R04</t>
        </is>
      </c>
      <c r="D1044" s="21" t="inlineStr">
        <is>
          <t>P100</t>
        </is>
      </c>
      <c r="E1044" s="21" t="n">
        <v>22</v>
      </c>
      <c r="F1044" s="23" t="n">
        <v>0.05</v>
      </c>
      <c r="G1044" s="24">
        <f>TEXT(B1044,"mmm")</f>
        <v/>
      </c>
      <c r="H1044" s="24">
        <f>HLOOKUP(C1044,Lookups!$H$4:$K$5,2,FALSE)</f>
        <v/>
      </c>
      <c r="I1044" s="24">
        <f>VLOOKUP(D1044,Lookups!$A$5:$E$10,2,FALSE)</f>
        <v/>
      </c>
      <c r="J1044" s="24">
        <f>VLOOKUP(D1044,Lookups!$A$5:$E$10,3,FALSE)</f>
        <v/>
      </c>
      <c r="K1044" s="25">
        <f>VLOOKUP(D1044,Lookups!$A$5:$E$10,4,FALSE)</f>
        <v/>
      </c>
      <c r="L1044" s="25">
        <f>E1044*K1044*(1-F1044)</f>
        <v/>
      </c>
      <c r="M1044" s="25">
        <f>L1044*VLOOKUP(D1044,Lookups!$A$5:$E$10,5,FALSE)</f>
        <v/>
      </c>
    </row>
    <row r="1045">
      <c r="A1045" s="21" t="inlineStr">
        <is>
          <t>INV-10219</t>
        </is>
      </c>
      <c r="B1045" s="22" t="n">
        <v>45975</v>
      </c>
      <c r="C1045" s="21" t="inlineStr">
        <is>
          <t>R02</t>
        </is>
      </c>
      <c r="D1045" s="21" t="inlineStr">
        <is>
          <t>P600</t>
        </is>
      </c>
      <c r="E1045" s="21" t="n">
        <v>16</v>
      </c>
      <c r="F1045" s="23" t="n">
        <v>0</v>
      </c>
      <c r="G1045" s="24">
        <f>TEXT(B1045,"mmm")</f>
        <v/>
      </c>
      <c r="H1045" s="24">
        <f>HLOOKUP(C1045,Lookups!$H$4:$K$5,2,FALSE)</f>
        <v/>
      </c>
      <c r="I1045" s="24">
        <f>VLOOKUP(D1045,Lookups!$A$5:$E$10,2,FALSE)</f>
        <v/>
      </c>
      <c r="J1045" s="24">
        <f>VLOOKUP(D1045,Lookups!$A$5:$E$10,3,FALSE)</f>
        <v/>
      </c>
      <c r="K1045" s="25">
        <f>VLOOKUP(D1045,Lookups!$A$5:$E$10,4,FALSE)</f>
        <v/>
      </c>
      <c r="L1045" s="25">
        <f>E1045*K1045*(1-F1045)</f>
        <v/>
      </c>
      <c r="M1045" s="25">
        <f>L1045*VLOOKUP(D1045,Lookups!$A$5:$E$10,5,FALSE)</f>
        <v/>
      </c>
    </row>
    <row r="1046">
      <c r="A1046" s="21" t="inlineStr">
        <is>
          <t>INV-10229</t>
        </is>
      </c>
      <c r="B1046" s="22" t="n">
        <v>45975</v>
      </c>
      <c r="C1046" s="21" t="inlineStr">
        <is>
          <t>R02</t>
        </is>
      </c>
      <c r="D1046" s="21" t="inlineStr">
        <is>
          <t>P300</t>
        </is>
      </c>
      <c r="E1046" s="21" t="n">
        <v>21</v>
      </c>
      <c r="F1046" s="23" t="n">
        <v>0</v>
      </c>
      <c r="G1046" s="24">
        <f>TEXT(B1046,"mmm")</f>
        <v/>
      </c>
      <c r="H1046" s="24">
        <f>HLOOKUP(C1046,Lookups!$H$4:$K$5,2,FALSE)</f>
        <v/>
      </c>
      <c r="I1046" s="24">
        <f>VLOOKUP(D1046,Lookups!$A$5:$E$10,2,FALSE)</f>
        <v/>
      </c>
      <c r="J1046" s="24">
        <f>VLOOKUP(D1046,Lookups!$A$5:$E$10,3,FALSE)</f>
        <v/>
      </c>
      <c r="K1046" s="25">
        <f>VLOOKUP(D1046,Lookups!$A$5:$E$10,4,FALSE)</f>
        <v/>
      </c>
      <c r="L1046" s="25">
        <f>E1046*K1046*(1-F1046)</f>
        <v/>
      </c>
      <c r="M1046" s="25">
        <f>L1046*VLOOKUP(D1046,Lookups!$A$5:$E$10,5,FALSE)</f>
        <v/>
      </c>
    </row>
    <row r="1047">
      <c r="A1047" s="21" t="inlineStr">
        <is>
          <t>INV-10531</t>
        </is>
      </c>
      <c r="B1047" s="22" t="n">
        <v>45975</v>
      </c>
      <c r="C1047" s="21" t="inlineStr">
        <is>
          <t>R03</t>
        </is>
      </c>
      <c r="D1047" s="21" t="inlineStr">
        <is>
          <t>P500</t>
        </is>
      </c>
      <c r="E1047" s="21" t="n">
        <v>12</v>
      </c>
      <c r="F1047" s="23" t="n">
        <v>0.05</v>
      </c>
      <c r="G1047" s="24">
        <f>TEXT(B1047,"mmm")</f>
        <v/>
      </c>
      <c r="H1047" s="24">
        <f>HLOOKUP(C1047,Lookups!$H$4:$K$5,2,FALSE)</f>
        <v/>
      </c>
      <c r="I1047" s="24">
        <f>VLOOKUP(D1047,Lookups!$A$5:$E$10,2,FALSE)</f>
        <v/>
      </c>
      <c r="J1047" s="24">
        <f>VLOOKUP(D1047,Lookups!$A$5:$E$10,3,FALSE)</f>
        <v/>
      </c>
      <c r="K1047" s="25">
        <f>VLOOKUP(D1047,Lookups!$A$5:$E$10,4,FALSE)</f>
        <v/>
      </c>
      <c r="L1047" s="25">
        <f>E1047*K1047*(1-F1047)</f>
        <v/>
      </c>
      <c r="M1047" s="25">
        <f>L1047*VLOOKUP(D1047,Lookups!$A$5:$E$10,5,FALSE)</f>
        <v/>
      </c>
    </row>
    <row r="1048">
      <c r="A1048" s="21" t="inlineStr">
        <is>
          <t>INV-10564</t>
        </is>
      </c>
      <c r="B1048" s="22" t="n">
        <v>45975</v>
      </c>
      <c r="C1048" s="21" t="inlineStr">
        <is>
          <t>R03</t>
        </is>
      </c>
      <c r="D1048" s="21" t="inlineStr">
        <is>
          <t>P400</t>
        </is>
      </c>
      <c r="E1048" s="21" t="n">
        <v>15</v>
      </c>
      <c r="F1048" s="23" t="n">
        <v>0.05</v>
      </c>
      <c r="G1048" s="24">
        <f>TEXT(B1048,"mmm")</f>
        <v/>
      </c>
      <c r="H1048" s="24">
        <f>HLOOKUP(C1048,Lookups!$H$4:$K$5,2,FALSE)</f>
        <v/>
      </c>
      <c r="I1048" s="24">
        <f>VLOOKUP(D1048,Lookups!$A$5:$E$10,2,FALSE)</f>
        <v/>
      </c>
      <c r="J1048" s="24">
        <f>VLOOKUP(D1048,Lookups!$A$5:$E$10,3,FALSE)</f>
        <v/>
      </c>
      <c r="K1048" s="25">
        <f>VLOOKUP(D1048,Lookups!$A$5:$E$10,4,FALSE)</f>
        <v/>
      </c>
      <c r="L1048" s="25">
        <f>E1048*K1048*(1-F1048)</f>
        <v/>
      </c>
      <c r="M1048" s="25">
        <f>L1048*VLOOKUP(D1048,Lookups!$A$5:$E$10,5,FALSE)</f>
        <v/>
      </c>
    </row>
    <row r="1049">
      <c r="A1049" s="21" t="inlineStr">
        <is>
          <t>INV-11036</t>
        </is>
      </c>
      <c r="B1049" s="22" t="n">
        <v>45975</v>
      </c>
      <c r="C1049" s="21" t="inlineStr">
        <is>
          <t>R04</t>
        </is>
      </c>
      <c r="D1049" s="21" t="inlineStr">
        <is>
          <t>P300</t>
        </is>
      </c>
      <c r="E1049" s="21" t="n">
        <v>19</v>
      </c>
      <c r="F1049" s="23" t="n">
        <v>0.05</v>
      </c>
      <c r="G1049" s="24">
        <f>TEXT(B1049,"mmm")</f>
        <v/>
      </c>
      <c r="H1049" s="24">
        <f>HLOOKUP(C1049,Lookups!$H$4:$K$5,2,FALSE)</f>
        <v/>
      </c>
      <c r="I1049" s="24">
        <f>VLOOKUP(D1049,Lookups!$A$5:$E$10,2,FALSE)</f>
        <v/>
      </c>
      <c r="J1049" s="24">
        <f>VLOOKUP(D1049,Lookups!$A$5:$E$10,3,FALSE)</f>
        <v/>
      </c>
      <c r="K1049" s="25">
        <f>VLOOKUP(D1049,Lookups!$A$5:$E$10,4,FALSE)</f>
        <v/>
      </c>
      <c r="L1049" s="25">
        <f>E1049*K1049*(1-F1049)</f>
        <v/>
      </c>
      <c r="M1049" s="25">
        <f>L1049*VLOOKUP(D1049,Lookups!$A$5:$E$10,5,FALSE)</f>
        <v/>
      </c>
    </row>
    <row r="1050">
      <c r="A1050" s="21" t="inlineStr">
        <is>
          <t>INV-10844</t>
        </is>
      </c>
      <c r="B1050" s="22" t="n">
        <v>45976</v>
      </c>
      <c r="C1050" s="21" t="inlineStr">
        <is>
          <t>R02</t>
        </is>
      </c>
      <c r="D1050" s="21" t="inlineStr">
        <is>
          <t>P500</t>
        </is>
      </c>
      <c r="E1050" s="21" t="n">
        <v>14</v>
      </c>
      <c r="F1050" s="23" t="n">
        <v>0</v>
      </c>
      <c r="G1050" s="24">
        <f>TEXT(B1050,"mmm")</f>
        <v/>
      </c>
      <c r="H1050" s="24">
        <f>HLOOKUP(C1050,Lookups!$H$4:$K$5,2,FALSE)</f>
        <v/>
      </c>
      <c r="I1050" s="24">
        <f>VLOOKUP(D1050,Lookups!$A$5:$E$10,2,FALSE)</f>
        <v/>
      </c>
      <c r="J1050" s="24">
        <f>VLOOKUP(D1050,Lookups!$A$5:$E$10,3,FALSE)</f>
        <v/>
      </c>
      <c r="K1050" s="25">
        <f>VLOOKUP(D1050,Lookups!$A$5:$E$10,4,FALSE)</f>
        <v/>
      </c>
      <c r="L1050" s="25">
        <f>E1050*K1050*(1-F1050)</f>
        <v/>
      </c>
      <c r="M1050" s="25">
        <f>L1050*VLOOKUP(D1050,Lookups!$A$5:$E$10,5,FALSE)</f>
        <v/>
      </c>
    </row>
    <row r="1051">
      <c r="A1051" s="21" t="inlineStr">
        <is>
          <t>INV-11175</t>
        </is>
      </c>
      <c r="B1051" s="22" t="n">
        <v>45976</v>
      </c>
      <c r="C1051" s="21" t="inlineStr">
        <is>
          <t>R02</t>
        </is>
      </c>
      <c r="D1051" s="21" t="inlineStr">
        <is>
          <t>P600</t>
        </is>
      </c>
      <c r="E1051" s="21" t="n">
        <v>23</v>
      </c>
      <c r="F1051" s="23" t="n">
        <v>0</v>
      </c>
      <c r="G1051" s="24">
        <f>TEXT(B1051,"mmm")</f>
        <v/>
      </c>
      <c r="H1051" s="24">
        <f>HLOOKUP(C1051,Lookups!$H$4:$K$5,2,FALSE)</f>
        <v/>
      </c>
      <c r="I1051" s="24">
        <f>VLOOKUP(D1051,Lookups!$A$5:$E$10,2,FALSE)</f>
        <v/>
      </c>
      <c r="J1051" s="24">
        <f>VLOOKUP(D1051,Lookups!$A$5:$E$10,3,FALSE)</f>
        <v/>
      </c>
      <c r="K1051" s="25">
        <f>VLOOKUP(D1051,Lookups!$A$5:$E$10,4,FALSE)</f>
        <v/>
      </c>
      <c r="L1051" s="25">
        <f>E1051*K1051*(1-F1051)</f>
        <v/>
      </c>
      <c r="M1051" s="25">
        <f>L1051*VLOOKUP(D1051,Lookups!$A$5:$E$10,5,FALSE)</f>
        <v/>
      </c>
    </row>
    <row r="1052">
      <c r="A1052" s="21" t="inlineStr">
        <is>
          <t>INV-10094</t>
        </is>
      </c>
      <c r="B1052" s="22" t="n">
        <v>45977</v>
      </c>
      <c r="C1052" s="21" t="inlineStr">
        <is>
          <t>R01</t>
        </is>
      </c>
      <c r="D1052" s="21" t="inlineStr">
        <is>
          <t>P300</t>
        </is>
      </c>
      <c r="E1052" s="21" t="n">
        <v>24</v>
      </c>
      <c r="F1052" s="23" t="n">
        <v>0.05</v>
      </c>
      <c r="G1052" s="24">
        <f>TEXT(B1052,"mmm")</f>
        <v/>
      </c>
      <c r="H1052" s="24">
        <f>HLOOKUP(C1052,Lookups!$H$4:$K$5,2,FALSE)</f>
        <v/>
      </c>
      <c r="I1052" s="24">
        <f>VLOOKUP(D1052,Lookups!$A$5:$E$10,2,FALSE)</f>
        <v/>
      </c>
      <c r="J1052" s="24">
        <f>VLOOKUP(D1052,Lookups!$A$5:$E$10,3,FALSE)</f>
        <v/>
      </c>
      <c r="K1052" s="25">
        <f>VLOOKUP(D1052,Lookups!$A$5:$E$10,4,FALSE)</f>
        <v/>
      </c>
      <c r="L1052" s="25">
        <f>E1052*K1052*(1-F1052)</f>
        <v/>
      </c>
      <c r="M1052" s="25">
        <f>L1052*VLOOKUP(D1052,Lookups!$A$5:$E$10,5,FALSE)</f>
        <v/>
      </c>
    </row>
    <row r="1053">
      <c r="A1053" s="21" t="inlineStr">
        <is>
          <t>INV-10421</t>
        </is>
      </c>
      <c r="B1053" s="22" t="n">
        <v>45977</v>
      </c>
      <c r="C1053" s="21" t="inlineStr">
        <is>
          <t>R01</t>
        </is>
      </c>
      <c r="D1053" s="21" t="inlineStr">
        <is>
          <t>P600</t>
        </is>
      </c>
      <c r="E1053" s="21" t="n">
        <v>5</v>
      </c>
      <c r="F1053" s="23" t="n">
        <v>0</v>
      </c>
      <c r="G1053" s="24">
        <f>TEXT(B1053,"mmm")</f>
        <v/>
      </c>
      <c r="H1053" s="24">
        <f>HLOOKUP(C1053,Lookups!$H$4:$K$5,2,FALSE)</f>
        <v/>
      </c>
      <c r="I1053" s="24">
        <f>VLOOKUP(D1053,Lookups!$A$5:$E$10,2,FALSE)</f>
        <v/>
      </c>
      <c r="J1053" s="24">
        <f>VLOOKUP(D1053,Lookups!$A$5:$E$10,3,FALSE)</f>
        <v/>
      </c>
      <c r="K1053" s="25">
        <f>VLOOKUP(D1053,Lookups!$A$5:$E$10,4,FALSE)</f>
        <v/>
      </c>
      <c r="L1053" s="25">
        <f>E1053*K1053*(1-F1053)</f>
        <v/>
      </c>
      <c r="M1053" s="25">
        <f>L1053*VLOOKUP(D1053,Lookups!$A$5:$E$10,5,FALSE)</f>
        <v/>
      </c>
    </row>
    <row r="1054">
      <c r="A1054" s="21" t="inlineStr">
        <is>
          <t>INV-10113</t>
        </is>
      </c>
      <c r="B1054" s="22" t="n">
        <v>45978</v>
      </c>
      <c r="C1054" s="21" t="inlineStr">
        <is>
          <t>R03</t>
        </is>
      </c>
      <c r="D1054" s="21" t="inlineStr">
        <is>
          <t>P200</t>
        </is>
      </c>
      <c r="E1054" s="21" t="n">
        <v>15</v>
      </c>
      <c r="F1054" s="23" t="n">
        <v>0</v>
      </c>
      <c r="G1054" s="24">
        <f>TEXT(B1054,"mmm")</f>
        <v/>
      </c>
      <c r="H1054" s="24">
        <f>HLOOKUP(C1054,Lookups!$H$4:$K$5,2,FALSE)</f>
        <v/>
      </c>
      <c r="I1054" s="24">
        <f>VLOOKUP(D1054,Lookups!$A$5:$E$10,2,FALSE)</f>
        <v/>
      </c>
      <c r="J1054" s="24">
        <f>VLOOKUP(D1054,Lookups!$A$5:$E$10,3,FALSE)</f>
        <v/>
      </c>
      <c r="K1054" s="25">
        <f>VLOOKUP(D1054,Lookups!$A$5:$E$10,4,FALSE)</f>
        <v/>
      </c>
      <c r="L1054" s="25">
        <f>E1054*K1054*(1-F1054)</f>
        <v/>
      </c>
      <c r="M1054" s="25">
        <f>L1054*VLOOKUP(D1054,Lookups!$A$5:$E$10,5,FALSE)</f>
        <v/>
      </c>
    </row>
    <row r="1055">
      <c r="A1055" s="21" t="inlineStr">
        <is>
          <t>INV-10191</t>
        </is>
      </c>
      <c r="B1055" s="22" t="n">
        <v>45978</v>
      </c>
      <c r="C1055" s="21" t="inlineStr">
        <is>
          <t>R01</t>
        </is>
      </c>
      <c r="D1055" s="21" t="inlineStr">
        <is>
          <t>P400</t>
        </is>
      </c>
      <c r="E1055" s="21" t="n">
        <v>7</v>
      </c>
      <c r="F1055" s="23" t="n">
        <v>0.05</v>
      </c>
      <c r="G1055" s="24">
        <f>TEXT(B1055,"mmm")</f>
        <v/>
      </c>
      <c r="H1055" s="24">
        <f>HLOOKUP(C1055,Lookups!$H$4:$K$5,2,FALSE)</f>
        <v/>
      </c>
      <c r="I1055" s="24">
        <f>VLOOKUP(D1055,Lookups!$A$5:$E$10,2,FALSE)</f>
        <v/>
      </c>
      <c r="J1055" s="24">
        <f>VLOOKUP(D1055,Lookups!$A$5:$E$10,3,FALSE)</f>
        <v/>
      </c>
      <c r="K1055" s="25">
        <f>VLOOKUP(D1055,Lookups!$A$5:$E$10,4,FALSE)</f>
        <v/>
      </c>
      <c r="L1055" s="25">
        <f>E1055*K1055*(1-F1055)</f>
        <v/>
      </c>
      <c r="M1055" s="25">
        <f>L1055*VLOOKUP(D1055,Lookups!$A$5:$E$10,5,FALSE)</f>
        <v/>
      </c>
    </row>
    <row r="1056">
      <c r="A1056" s="21" t="inlineStr">
        <is>
          <t>INV-10562</t>
        </is>
      </c>
      <c r="B1056" s="22" t="n">
        <v>45978</v>
      </c>
      <c r="C1056" s="21" t="inlineStr">
        <is>
          <t>R02</t>
        </is>
      </c>
      <c r="D1056" s="21" t="inlineStr">
        <is>
          <t>P400</t>
        </is>
      </c>
      <c r="E1056" s="21" t="n">
        <v>15</v>
      </c>
      <c r="F1056" s="23" t="n">
        <v>0</v>
      </c>
      <c r="G1056" s="24">
        <f>TEXT(B1056,"mmm")</f>
        <v/>
      </c>
      <c r="H1056" s="24">
        <f>HLOOKUP(C1056,Lookups!$H$4:$K$5,2,FALSE)</f>
        <v/>
      </c>
      <c r="I1056" s="24">
        <f>VLOOKUP(D1056,Lookups!$A$5:$E$10,2,FALSE)</f>
        <v/>
      </c>
      <c r="J1056" s="24">
        <f>VLOOKUP(D1056,Lookups!$A$5:$E$10,3,FALSE)</f>
        <v/>
      </c>
      <c r="K1056" s="25">
        <f>VLOOKUP(D1056,Lookups!$A$5:$E$10,4,FALSE)</f>
        <v/>
      </c>
      <c r="L1056" s="25">
        <f>E1056*K1056*(1-F1056)</f>
        <v/>
      </c>
      <c r="M1056" s="25">
        <f>L1056*VLOOKUP(D1056,Lookups!$A$5:$E$10,5,FALSE)</f>
        <v/>
      </c>
    </row>
    <row r="1057">
      <c r="A1057" s="21" t="inlineStr">
        <is>
          <t>INV-10634</t>
        </is>
      </c>
      <c r="B1057" s="22" t="n">
        <v>45978</v>
      </c>
      <c r="C1057" s="21" t="inlineStr">
        <is>
          <t>R01</t>
        </is>
      </c>
      <c r="D1057" s="21" t="inlineStr">
        <is>
          <t>P400</t>
        </is>
      </c>
      <c r="E1057" s="21" t="n">
        <v>4</v>
      </c>
      <c r="F1057" s="23" t="n">
        <v>0</v>
      </c>
      <c r="G1057" s="24">
        <f>TEXT(B1057,"mmm")</f>
        <v/>
      </c>
      <c r="H1057" s="24">
        <f>HLOOKUP(C1057,Lookups!$H$4:$K$5,2,FALSE)</f>
        <v/>
      </c>
      <c r="I1057" s="24">
        <f>VLOOKUP(D1057,Lookups!$A$5:$E$10,2,FALSE)</f>
        <v/>
      </c>
      <c r="J1057" s="24">
        <f>VLOOKUP(D1057,Lookups!$A$5:$E$10,3,FALSE)</f>
        <v/>
      </c>
      <c r="K1057" s="25">
        <f>VLOOKUP(D1057,Lookups!$A$5:$E$10,4,FALSE)</f>
        <v/>
      </c>
      <c r="L1057" s="25">
        <f>E1057*K1057*(1-F1057)</f>
        <v/>
      </c>
      <c r="M1057" s="25">
        <f>L1057*VLOOKUP(D1057,Lookups!$A$5:$E$10,5,FALSE)</f>
        <v/>
      </c>
    </row>
    <row r="1058">
      <c r="A1058" s="21" t="inlineStr">
        <is>
          <t>INV-10639</t>
        </is>
      </c>
      <c r="B1058" s="22" t="n">
        <v>45978</v>
      </c>
      <c r="C1058" s="21" t="inlineStr">
        <is>
          <t>R02</t>
        </is>
      </c>
      <c r="D1058" s="21" t="inlineStr">
        <is>
          <t>P300</t>
        </is>
      </c>
      <c r="E1058" s="21" t="n">
        <v>14</v>
      </c>
      <c r="F1058" s="23" t="n">
        <v>0</v>
      </c>
      <c r="G1058" s="24">
        <f>TEXT(B1058,"mmm")</f>
        <v/>
      </c>
      <c r="H1058" s="24">
        <f>HLOOKUP(C1058,Lookups!$H$4:$K$5,2,FALSE)</f>
        <v/>
      </c>
      <c r="I1058" s="24">
        <f>VLOOKUP(D1058,Lookups!$A$5:$E$10,2,FALSE)</f>
        <v/>
      </c>
      <c r="J1058" s="24">
        <f>VLOOKUP(D1058,Lookups!$A$5:$E$10,3,FALSE)</f>
        <v/>
      </c>
      <c r="K1058" s="25">
        <f>VLOOKUP(D1058,Lookups!$A$5:$E$10,4,FALSE)</f>
        <v/>
      </c>
      <c r="L1058" s="25">
        <f>E1058*K1058*(1-F1058)</f>
        <v/>
      </c>
      <c r="M1058" s="25">
        <f>L1058*VLOOKUP(D1058,Lookups!$A$5:$E$10,5,FALSE)</f>
        <v/>
      </c>
    </row>
    <row r="1059">
      <c r="A1059" s="21" t="inlineStr">
        <is>
          <t>INV-10831</t>
        </is>
      </c>
      <c r="B1059" s="22" t="n">
        <v>45978</v>
      </c>
      <c r="C1059" s="21" t="inlineStr">
        <is>
          <t>R02</t>
        </is>
      </c>
      <c r="D1059" s="21" t="inlineStr">
        <is>
          <t>P600</t>
        </is>
      </c>
      <c r="E1059" s="21" t="n">
        <v>8</v>
      </c>
      <c r="F1059" s="23" t="n">
        <v>0.05</v>
      </c>
      <c r="G1059" s="24">
        <f>TEXT(B1059,"mmm")</f>
        <v/>
      </c>
      <c r="H1059" s="24">
        <f>HLOOKUP(C1059,Lookups!$H$4:$K$5,2,FALSE)</f>
        <v/>
      </c>
      <c r="I1059" s="24">
        <f>VLOOKUP(D1059,Lookups!$A$5:$E$10,2,FALSE)</f>
        <v/>
      </c>
      <c r="J1059" s="24">
        <f>VLOOKUP(D1059,Lookups!$A$5:$E$10,3,FALSE)</f>
        <v/>
      </c>
      <c r="K1059" s="25">
        <f>VLOOKUP(D1059,Lookups!$A$5:$E$10,4,FALSE)</f>
        <v/>
      </c>
      <c r="L1059" s="25">
        <f>E1059*K1059*(1-F1059)</f>
        <v/>
      </c>
      <c r="M1059" s="25">
        <f>L1059*VLOOKUP(D1059,Lookups!$A$5:$E$10,5,FALSE)</f>
        <v/>
      </c>
    </row>
    <row r="1060">
      <c r="A1060" s="21" t="inlineStr">
        <is>
          <t>INV-11109</t>
        </is>
      </c>
      <c r="B1060" s="22" t="n">
        <v>45978</v>
      </c>
      <c r="C1060" s="21" t="inlineStr">
        <is>
          <t>R01</t>
        </is>
      </c>
      <c r="D1060" s="21" t="inlineStr">
        <is>
          <t>P100</t>
        </is>
      </c>
      <c r="E1060" s="21" t="n">
        <v>12</v>
      </c>
      <c r="F1060" s="23" t="n">
        <v>0</v>
      </c>
      <c r="G1060" s="24">
        <f>TEXT(B1060,"mmm")</f>
        <v/>
      </c>
      <c r="H1060" s="24">
        <f>HLOOKUP(C1060,Lookups!$H$4:$K$5,2,FALSE)</f>
        <v/>
      </c>
      <c r="I1060" s="24">
        <f>VLOOKUP(D1060,Lookups!$A$5:$E$10,2,FALSE)</f>
        <v/>
      </c>
      <c r="J1060" s="24">
        <f>VLOOKUP(D1060,Lookups!$A$5:$E$10,3,FALSE)</f>
        <v/>
      </c>
      <c r="K1060" s="25">
        <f>VLOOKUP(D1060,Lookups!$A$5:$E$10,4,FALSE)</f>
        <v/>
      </c>
      <c r="L1060" s="25">
        <f>E1060*K1060*(1-F1060)</f>
        <v/>
      </c>
      <c r="M1060" s="25">
        <f>L1060*VLOOKUP(D1060,Lookups!$A$5:$E$10,5,FALSE)</f>
        <v/>
      </c>
    </row>
    <row r="1061">
      <c r="A1061" s="21" t="inlineStr">
        <is>
          <t>INV-10230</t>
        </is>
      </c>
      <c r="B1061" s="22" t="n">
        <v>45979</v>
      </c>
      <c r="C1061" s="21" t="inlineStr">
        <is>
          <t>R01</t>
        </is>
      </c>
      <c r="D1061" s="21" t="inlineStr">
        <is>
          <t>P600</t>
        </is>
      </c>
      <c r="E1061" s="21" t="n">
        <v>10</v>
      </c>
      <c r="F1061" s="23" t="n">
        <v>0.1</v>
      </c>
      <c r="G1061" s="24">
        <f>TEXT(B1061,"mmm")</f>
        <v/>
      </c>
      <c r="H1061" s="24">
        <f>HLOOKUP(C1061,Lookups!$H$4:$K$5,2,FALSE)</f>
        <v/>
      </c>
      <c r="I1061" s="24">
        <f>VLOOKUP(D1061,Lookups!$A$5:$E$10,2,FALSE)</f>
        <v/>
      </c>
      <c r="J1061" s="24">
        <f>VLOOKUP(D1061,Lookups!$A$5:$E$10,3,FALSE)</f>
        <v/>
      </c>
      <c r="K1061" s="25">
        <f>VLOOKUP(D1061,Lookups!$A$5:$E$10,4,FALSE)</f>
        <v/>
      </c>
      <c r="L1061" s="25">
        <f>E1061*K1061*(1-F1061)</f>
        <v/>
      </c>
      <c r="M1061" s="25">
        <f>L1061*VLOOKUP(D1061,Lookups!$A$5:$E$10,5,FALSE)</f>
        <v/>
      </c>
    </row>
    <row r="1062">
      <c r="A1062" s="21" t="inlineStr">
        <is>
          <t>INV-10308</t>
        </is>
      </c>
      <c r="B1062" s="22" t="n">
        <v>45979</v>
      </c>
      <c r="C1062" s="21" t="inlineStr">
        <is>
          <t>R02</t>
        </is>
      </c>
      <c r="D1062" s="21" t="inlineStr">
        <is>
          <t>P300</t>
        </is>
      </c>
      <c r="E1062" s="21" t="n">
        <v>15</v>
      </c>
      <c r="F1062" s="23" t="n">
        <v>0</v>
      </c>
      <c r="G1062" s="24">
        <f>TEXT(B1062,"mmm")</f>
        <v/>
      </c>
      <c r="H1062" s="24">
        <f>HLOOKUP(C1062,Lookups!$H$4:$K$5,2,FALSE)</f>
        <v/>
      </c>
      <c r="I1062" s="24">
        <f>VLOOKUP(D1062,Lookups!$A$5:$E$10,2,FALSE)</f>
        <v/>
      </c>
      <c r="J1062" s="24">
        <f>VLOOKUP(D1062,Lookups!$A$5:$E$10,3,FALSE)</f>
        <v/>
      </c>
      <c r="K1062" s="25">
        <f>VLOOKUP(D1062,Lookups!$A$5:$E$10,4,FALSE)</f>
        <v/>
      </c>
      <c r="L1062" s="25">
        <f>E1062*K1062*(1-F1062)</f>
        <v/>
      </c>
      <c r="M1062" s="25">
        <f>L1062*VLOOKUP(D1062,Lookups!$A$5:$E$10,5,FALSE)</f>
        <v/>
      </c>
    </row>
    <row r="1063">
      <c r="A1063" s="21" t="inlineStr">
        <is>
          <t>INV-10360</t>
        </is>
      </c>
      <c r="B1063" s="22" t="n">
        <v>45981</v>
      </c>
      <c r="C1063" s="21" t="inlineStr">
        <is>
          <t>R02</t>
        </is>
      </c>
      <c r="D1063" s="21" t="inlineStr">
        <is>
          <t>P200</t>
        </is>
      </c>
      <c r="E1063" s="21" t="n">
        <v>3</v>
      </c>
      <c r="F1063" s="23" t="n">
        <v>0.1</v>
      </c>
      <c r="G1063" s="24">
        <f>TEXT(B1063,"mmm")</f>
        <v/>
      </c>
      <c r="H1063" s="24">
        <f>HLOOKUP(C1063,Lookups!$H$4:$K$5,2,FALSE)</f>
        <v/>
      </c>
      <c r="I1063" s="24">
        <f>VLOOKUP(D1063,Lookups!$A$5:$E$10,2,FALSE)</f>
        <v/>
      </c>
      <c r="J1063" s="24">
        <f>VLOOKUP(D1063,Lookups!$A$5:$E$10,3,FALSE)</f>
        <v/>
      </c>
      <c r="K1063" s="25">
        <f>VLOOKUP(D1063,Lookups!$A$5:$E$10,4,FALSE)</f>
        <v/>
      </c>
      <c r="L1063" s="25">
        <f>E1063*K1063*(1-F1063)</f>
        <v/>
      </c>
      <c r="M1063" s="25">
        <f>L1063*VLOOKUP(D1063,Lookups!$A$5:$E$10,5,FALSE)</f>
        <v/>
      </c>
    </row>
    <row r="1064">
      <c r="A1064" s="21" t="inlineStr">
        <is>
          <t>INV-10074</t>
        </is>
      </c>
      <c r="B1064" s="22" t="n">
        <v>45982</v>
      </c>
      <c r="C1064" s="21" t="inlineStr">
        <is>
          <t>R03</t>
        </is>
      </c>
      <c r="D1064" s="21" t="inlineStr">
        <is>
          <t>P400</t>
        </is>
      </c>
      <c r="E1064" s="21" t="n">
        <v>2</v>
      </c>
      <c r="F1064" s="23" t="n">
        <v>0</v>
      </c>
      <c r="G1064" s="24">
        <f>TEXT(B1064,"mmm")</f>
        <v/>
      </c>
      <c r="H1064" s="24">
        <f>HLOOKUP(C1064,Lookups!$H$4:$K$5,2,FALSE)</f>
        <v/>
      </c>
      <c r="I1064" s="24">
        <f>VLOOKUP(D1064,Lookups!$A$5:$E$10,2,FALSE)</f>
        <v/>
      </c>
      <c r="J1064" s="24">
        <f>VLOOKUP(D1064,Lookups!$A$5:$E$10,3,FALSE)</f>
        <v/>
      </c>
      <c r="K1064" s="25">
        <f>VLOOKUP(D1064,Lookups!$A$5:$E$10,4,FALSE)</f>
        <v/>
      </c>
      <c r="L1064" s="25">
        <f>E1064*K1064*(1-F1064)</f>
        <v/>
      </c>
      <c r="M1064" s="25">
        <f>L1064*VLOOKUP(D1064,Lookups!$A$5:$E$10,5,FALSE)</f>
        <v/>
      </c>
    </row>
    <row r="1065">
      <c r="A1065" s="21" t="inlineStr">
        <is>
          <t>INV-10214</t>
        </is>
      </c>
      <c r="B1065" s="22" t="n">
        <v>45982</v>
      </c>
      <c r="C1065" s="21" t="inlineStr">
        <is>
          <t>R01</t>
        </is>
      </c>
      <c r="D1065" s="21" t="inlineStr">
        <is>
          <t>P600</t>
        </is>
      </c>
      <c r="E1065" s="21" t="n">
        <v>15</v>
      </c>
      <c r="F1065" s="23" t="n">
        <v>0</v>
      </c>
      <c r="G1065" s="24">
        <f>TEXT(B1065,"mmm")</f>
        <v/>
      </c>
      <c r="H1065" s="24">
        <f>HLOOKUP(C1065,Lookups!$H$4:$K$5,2,FALSE)</f>
        <v/>
      </c>
      <c r="I1065" s="24">
        <f>VLOOKUP(D1065,Lookups!$A$5:$E$10,2,FALSE)</f>
        <v/>
      </c>
      <c r="J1065" s="24">
        <f>VLOOKUP(D1065,Lookups!$A$5:$E$10,3,FALSE)</f>
        <v/>
      </c>
      <c r="K1065" s="25">
        <f>VLOOKUP(D1065,Lookups!$A$5:$E$10,4,FALSE)</f>
        <v/>
      </c>
      <c r="L1065" s="25">
        <f>E1065*K1065*(1-F1065)</f>
        <v/>
      </c>
      <c r="M1065" s="25">
        <f>L1065*VLOOKUP(D1065,Lookups!$A$5:$E$10,5,FALSE)</f>
        <v/>
      </c>
    </row>
    <row r="1066">
      <c r="A1066" s="21" t="inlineStr">
        <is>
          <t>INV-11154</t>
        </is>
      </c>
      <c r="B1066" s="22" t="n">
        <v>45982</v>
      </c>
      <c r="C1066" s="21" t="inlineStr">
        <is>
          <t>R04</t>
        </is>
      </c>
      <c r="D1066" s="21" t="inlineStr">
        <is>
          <t>P600</t>
        </is>
      </c>
      <c r="E1066" s="21" t="n">
        <v>2</v>
      </c>
      <c r="F1066" s="23" t="n">
        <v>0.05</v>
      </c>
      <c r="G1066" s="24">
        <f>TEXT(B1066,"mmm")</f>
        <v/>
      </c>
      <c r="H1066" s="24">
        <f>HLOOKUP(C1066,Lookups!$H$4:$K$5,2,FALSE)</f>
        <v/>
      </c>
      <c r="I1066" s="24">
        <f>VLOOKUP(D1066,Lookups!$A$5:$E$10,2,FALSE)</f>
        <v/>
      </c>
      <c r="J1066" s="24">
        <f>VLOOKUP(D1066,Lookups!$A$5:$E$10,3,FALSE)</f>
        <v/>
      </c>
      <c r="K1066" s="25">
        <f>VLOOKUP(D1066,Lookups!$A$5:$E$10,4,FALSE)</f>
        <v/>
      </c>
      <c r="L1066" s="25">
        <f>E1066*K1066*(1-F1066)</f>
        <v/>
      </c>
      <c r="M1066" s="25">
        <f>L1066*VLOOKUP(D1066,Lookups!$A$5:$E$10,5,FALSE)</f>
        <v/>
      </c>
    </row>
    <row r="1067">
      <c r="A1067" s="21" t="inlineStr">
        <is>
          <t>INV-10604</t>
        </is>
      </c>
      <c r="B1067" s="22" t="n">
        <v>45983</v>
      </c>
      <c r="C1067" s="21" t="inlineStr">
        <is>
          <t>R02</t>
        </is>
      </c>
      <c r="D1067" s="21" t="inlineStr">
        <is>
          <t>P500</t>
        </is>
      </c>
      <c r="E1067" s="21" t="n">
        <v>18</v>
      </c>
      <c r="F1067" s="23" t="n">
        <v>0</v>
      </c>
      <c r="G1067" s="24">
        <f>TEXT(B1067,"mmm")</f>
        <v/>
      </c>
      <c r="H1067" s="24">
        <f>HLOOKUP(C1067,Lookups!$H$4:$K$5,2,FALSE)</f>
        <v/>
      </c>
      <c r="I1067" s="24">
        <f>VLOOKUP(D1067,Lookups!$A$5:$E$10,2,FALSE)</f>
        <v/>
      </c>
      <c r="J1067" s="24">
        <f>VLOOKUP(D1067,Lookups!$A$5:$E$10,3,FALSE)</f>
        <v/>
      </c>
      <c r="K1067" s="25">
        <f>VLOOKUP(D1067,Lookups!$A$5:$E$10,4,FALSE)</f>
        <v/>
      </c>
      <c r="L1067" s="25">
        <f>E1067*K1067*(1-F1067)</f>
        <v/>
      </c>
      <c r="M1067" s="25">
        <f>L1067*VLOOKUP(D1067,Lookups!$A$5:$E$10,5,FALSE)</f>
        <v/>
      </c>
    </row>
    <row r="1068">
      <c r="A1068" s="21" t="inlineStr">
        <is>
          <t>INV-10793</t>
        </is>
      </c>
      <c r="B1068" s="22" t="n">
        <v>45983</v>
      </c>
      <c r="C1068" s="21" t="inlineStr">
        <is>
          <t>R01</t>
        </is>
      </c>
      <c r="D1068" s="21" t="inlineStr">
        <is>
          <t>P100</t>
        </is>
      </c>
      <c r="E1068" s="21" t="n">
        <v>8</v>
      </c>
      <c r="F1068" s="23" t="n">
        <v>0.05</v>
      </c>
      <c r="G1068" s="24">
        <f>TEXT(B1068,"mmm")</f>
        <v/>
      </c>
      <c r="H1068" s="24">
        <f>HLOOKUP(C1068,Lookups!$H$4:$K$5,2,FALSE)</f>
        <v/>
      </c>
      <c r="I1068" s="24">
        <f>VLOOKUP(D1068,Lookups!$A$5:$E$10,2,FALSE)</f>
        <v/>
      </c>
      <c r="J1068" s="24">
        <f>VLOOKUP(D1068,Lookups!$A$5:$E$10,3,FALSE)</f>
        <v/>
      </c>
      <c r="K1068" s="25">
        <f>VLOOKUP(D1068,Lookups!$A$5:$E$10,4,FALSE)</f>
        <v/>
      </c>
      <c r="L1068" s="25">
        <f>E1068*K1068*(1-F1068)</f>
        <v/>
      </c>
      <c r="M1068" s="25">
        <f>L1068*VLOOKUP(D1068,Lookups!$A$5:$E$10,5,FALSE)</f>
        <v/>
      </c>
    </row>
    <row r="1069">
      <c r="A1069" s="21" t="inlineStr">
        <is>
          <t>INV-10240</t>
        </is>
      </c>
      <c r="B1069" s="22" t="n">
        <v>45984</v>
      </c>
      <c r="C1069" s="21" t="inlineStr">
        <is>
          <t>R01</t>
        </is>
      </c>
      <c r="D1069" s="21" t="inlineStr">
        <is>
          <t>P300</t>
        </is>
      </c>
      <c r="E1069" s="21" t="n">
        <v>22</v>
      </c>
      <c r="F1069" s="23" t="n">
        <v>0</v>
      </c>
      <c r="G1069" s="24">
        <f>TEXT(B1069,"mmm")</f>
        <v/>
      </c>
      <c r="H1069" s="24">
        <f>HLOOKUP(C1069,Lookups!$H$4:$K$5,2,FALSE)</f>
        <v/>
      </c>
      <c r="I1069" s="24">
        <f>VLOOKUP(D1069,Lookups!$A$5:$E$10,2,FALSE)</f>
        <v/>
      </c>
      <c r="J1069" s="24">
        <f>VLOOKUP(D1069,Lookups!$A$5:$E$10,3,FALSE)</f>
        <v/>
      </c>
      <c r="K1069" s="25">
        <f>VLOOKUP(D1069,Lookups!$A$5:$E$10,4,FALSE)</f>
        <v/>
      </c>
      <c r="L1069" s="25">
        <f>E1069*K1069*(1-F1069)</f>
        <v/>
      </c>
      <c r="M1069" s="25">
        <f>L1069*VLOOKUP(D1069,Lookups!$A$5:$E$10,5,FALSE)</f>
        <v/>
      </c>
    </row>
    <row r="1070">
      <c r="A1070" s="21" t="inlineStr">
        <is>
          <t>INV-11103</t>
        </is>
      </c>
      <c r="B1070" s="22" t="n">
        <v>45984</v>
      </c>
      <c r="C1070" s="21" t="inlineStr">
        <is>
          <t>R02</t>
        </is>
      </c>
      <c r="D1070" s="21" t="inlineStr">
        <is>
          <t>P300</t>
        </is>
      </c>
      <c r="E1070" s="21" t="n">
        <v>12</v>
      </c>
      <c r="F1070" s="23" t="n">
        <v>0</v>
      </c>
      <c r="G1070" s="24">
        <f>TEXT(B1070,"mmm")</f>
        <v/>
      </c>
      <c r="H1070" s="24">
        <f>HLOOKUP(C1070,Lookups!$H$4:$K$5,2,FALSE)</f>
        <v/>
      </c>
      <c r="I1070" s="24">
        <f>VLOOKUP(D1070,Lookups!$A$5:$E$10,2,FALSE)</f>
        <v/>
      </c>
      <c r="J1070" s="24">
        <f>VLOOKUP(D1070,Lookups!$A$5:$E$10,3,FALSE)</f>
        <v/>
      </c>
      <c r="K1070" s="25">
        <f>VLOOKUP(D1070,Lookups!$A$5:$E$10,4,FALSE)</f>
        <v/>
      </c>
      <c r="L1070" s="25">
        <f>E1070*K1070*(1-F1070)</f>
        <v/>
      </c>
      <c r="M1070" s="25">
        <f>L1070*VLOOKUP(D1070,Lookups!$A$5:$E$10,5,FALSE)</f>
        <v/>
      </c>
    </row>
    <row r="1071">
      <c r="A1071" s="21" t="inlineStr">
        <is>
          <t>INV-11135</t>
        </is>
      </c>
      <c r="B1071" s="22" t="n">
        <v>45984</v>
      </c>
      <c r="C1071" s="21" t="inlineStr">
        <is>
          <t>R03</t>
        </is>
      </c>
      <c r="D1071" s="21" t="inlineStr">
        <is>
          <t>P500</t>
        </is>
      </c>
      <c r="E1071" s="21" t="n">
        <v>22</v>
      </c>
      <c r="F1071" s="23" t="n">
        <v>0.1</v>
      </c>
      <c r="G1071" s="24">
        <f>TEXT(B1071,"mmm")</f>
        <v/>
      </c>
      <c r="H1071" s="24">
        <f>HLOOKUP(C1071,Lookups!$H$4:$K$5,2,FALSE)</f>
        <v/>
      </c>
      <c r="I1071" s="24">
        <f>VLOOKUP(D1071,Lookups!$A$5:$E$10,2,FALSE)</f>
        <v/>
      </c>
      <c r="J1071" s="24">
        <f>VLOOKUP(D1071,Lookups!$A$5:$E$10,3,FALSE)</f>
        <v/>
      </c>
      <c r="K1071" s="25">
        <f>VLOOKUP(D1071,Lookups!$A$5:$E$10,4,FALSE)</f>
        <v/>
      </c>
      <c r="L1071" s="25">
        <f>E1071*K1071*(1-F1071)</f>
        <v/>
      </c>
      <c r="M1071" s="25">
        <f>L1071*VLOOKUP(D1071,Lookups!$A$5:$E$10,5,FALSE)</f>
        <v/>
      </c>
    </row>
    <row r="1072">
      <c r="A1072" s="21" t="inlineStr">
        <is>
          <t>INV-10000</t>
        </is>
      </c>
      <c r="B1072" s="22" t="n">
        <v>45985</v>
      </c>
      <c r="C1072" s="21" t="inlineStr">
        <is>
          <t>R01</t>
        </is>
      </c>
      <c r="D1072" s="21" t="inlineStr">
        <is>
          <t>P100</t>
        </is>
      </c>
      <c r="E1072" s="21" t="n">
        <v>24</v>
      </c>
      <c r="F1072" s="23" t="n">
        <v>0.05</v>
      </c>
      <c r="G1072" s="24">
        <f>TEXT(B1072,"mmm")</f>
        <v/>
      </c>
      <c r="H1072" s="24">
        <f>HLOOKUP(C1072,Lookups!$H$4:$K$5,2,FALSE)</f>
        <v/>
      </c>
      <c r="I1072" s="24">
        <f>VLOOKUP(D1072,Lookups!$A$5:$E$10,2,FALSE)</f>
        <v/>
      </c>
      <c r="J1072" s="24">
        <f>VLOOKUP(D1072,Lookups!$A$5:$E$10,3,FALSE)</f>
        <v/>
      </c>
      <c r="K1072" s="25">
        <f>VLOOKUP(D1072,Lookups!$A$5:$E$10,4,FALSE)</f>
        <v/>
      </c>
      <c r="L1072" s="25">
        <f>E1072*K1072*(1-F1072)</f>
        <v/>
      </c>
      <c r="M1072" s="25">
        <f>L1072*VLOOKUP(D1072,Lookups!$A$5:$E$10,5,FALSE)</f>
        <v/>
      </c>
    </row>
    <row r="1073">
      <c r="A1073" s="21" t="inlineStr">
        <is>
          <t>INV-10223</t>
        </is>
      </c>
      <c r="B1073" s="22" t="n">
        <v>45985</v>
      </c>
      <c r="C1073" s="21" t="inlineStr">
        <is>
          <t>R03</t>
        </is>
      </c>
      <c r="D1073" s="21" t="inlineStr">
        <is>
          <t>P400</t>
        </is>
      </c>
      <c r="E1073" s="21" t="n">
        <v>15</v>
      </c>
      <c r="F1073" s="23" t="n">
        <v>0.05</v>
      </c>
      <c r="G1073" s="24">
        <f>TEXT(B1073,"mmm")</f>
        <v/>
      </c>
      <c r="H1073" s="24">
        <f>HLOOKUP(C1073,Lookups!$H$4:$K$5,2,FALSE)</f>
        <v/>
      </c>
      <c r="I1073" s="24">
        <f>VLOOKUP(D1073,Lookups!$A$5:$E$10,2,FALSE)</f>
        <v/>
      </c>
      <c r="J1073" s="24">
        <f>VLOOKUP(D1073,Lookups!$A$5:$E$10,3,FALSE)</f>
        <v/>
      </c>
      <c r="K1073" s="25">
        <f>VLOOKUP(D1073,Lookups!$A$5:$E$10,4,FALSE)</f>
        <v/>
      </c>
      <c r="L1073" s="25">
        <f>E1073*K1073*(1-F1073)</f>
        <v/>
      </c>
      <c r="M1073" s="25">
        <f>L1073*VLOOKUP(D1073,Lookups!$A$5:$E$10,5,FALSE)</f>
        <v/>
      </c>
    </row>
    <row r="1074">
      <c r="A1074" s="21" t="inlineStr">
        <is>
          <t>INV-10740</t>
        </is>
      </c>
      <c r="B1074" s="22" t="n">
        <v>45985</v>
      </c>
      <c r="C1074" s="21" t="inlineStr">
        <is>
          <t>R01</t>
        </is>
      </c>
      <c r="D1074" s="21" t="inlineStr">
        <is>
          <t>P500</t>
        </is>
      </c>
      <c r="E1074" s="21" t="n">
        <v>16</v>
      </c>
      <c r="F1074" s="23" t="n">
        <v>0</v>
      </c>
      <c r="G1074" s="24">
        <f>TEXT(B1074,"mmm")</f>
        <v/>
      </c>
      <c r="H1074" s="24">
        <f>HLOOKUP(C1074,Lookups!$H$4:$K$5,2,FALSE)</f>
        <v/>
      </c>
      <c r="I1074" s="24">
        <f>VLOOKUP(D1074,Lookups!$A$5:$E$10,2,FALSE)</f>
        <v/>
      </c>
      <c r="J1074" s="24">
        <f>VLOOKUP(D1074,Lookups!$A$5:$E$10,3,FALSE)</f>
        <v/>
      </c>
      <c r="K1074" s="25">
        <f>VLOOKUP(D1074,Lookups!$A$5:$E$10,4,FALSE)</f>
        <v/>
      </c>
      <c r="L1074" s="25">
        <f>E1074*K1074*(1-F1074)</f>
        <v/>
      </c>
      <c r="M1074" s="25">
        <f>L1074*VLOOKUP(D1074,Lookups!$A$5:$E$10,5,FALSE)</f>
        <v/>
      </c>
    </row>
    <row r="1075">
      <c r="A1075" s="21" t="inlineStr">
        <is>
          <t>INV-10401</t>
        </is>
      </c>
      <c r="B1075" s="22" t="n">
        <v>45986</v>
      </c>
      <c r="C1075" s="21" t="inlineStr">
        <is>
          <t>R03</t>
        </is>
      </c>
      <c r="D1075" s="21" t="inlineStr">
        <is>
          <t>P500</t>
        </is>
      </c>
      <c r="E1075" s="21" t="n">
        <v>21</v>
      </c>
      <c r="F1075" s="23" t="n">
        <v>0</v>
      </c>
      <c r="G1075" s="24">
        <f>TEXT(B1075,"mmm")</f>
        <v/>
      </c>
      <c r="H1075" s="24">
        <f>HLOOKUP(C1075,Lookups!$H$4:$K$5,2,FALSE)</f>
        <v/>
      </c>
      <c r="I1075" s="24">
        <f>VLOOKUP(D1075,Lookups!$A$5:$E$10,2,FALSE)</f>
        <v/>
      </c>
      <c r="J1075" s="24">
        <f>VLOOKUP(D1075,Lookups!$A$5:$E$10,3,FALSE)</f>
        <v/>
      </c>
      <c r="K1075" s="25">
        <f>VLOOKUP(D1075,Lookups!$A$5:$E$10,4,FALSE)</f>
        <v/>
      </c>
      <c r="L1075" s="25">
        <f>E1075*K1075*(1-F1075)</f>
        <v/>
      </c>
      <c r="M1075" s="25">
        <f>L1075*VLOOKUP(D1075,Lookups!$A$5:$E$10,5,FALSE)</f>
        <v/>
      </c>
    </row>
    <row r="1076">
      <c r="A1076" s="21" t="inlineStr">
        <is>
          <t>INV-10403</t>
        </is>
      </c>
      <c r="B1076" s="22" t="n">
        <v>45986</v>
      </c>
      <c r="C1076" s="21" t="inlineStr">
        <is>
          <t>R04</t>
        </is>
      </c>
      <c r="D1076" s="21" t="inlineStr">
        <is>
          <t>P300</t>
        </is>
      </c>
      <c r="E1076" s="21" t="n">
        <v>8</v>
      </c>
      <c r="F1076" s="23" t="n">
        <v>0.1</v>
      </c>
      <c r="G1076" s="24">
        <f>TEXT(B1076,"mmm")</f>
        <v/>
      </c>
      <c r="H1076" s="24">
        <f>HLOOKUP(C1076,Lookups!$H$4:$K$5,2,FALSE)</f>
        <v/>
      </c>
      <c r="I1076" s="24">
        <f>VLOOKUP(D1076,Lookups!$A$5:$E$10,2,FALSE)</f>
        <v/>
      </c>
      <c r="J1076" s="24">
        <f>VLOOKUP(D1076,Lookups!$A$5:$E$10,3,FALSE)</f>
        <v/>
      </c>
      <c r="K1076" s="25">
        <f>VLOOKUP(D1076,Lookups!$A$5:$E$10,4,FALSE)</f>
        <v/>
      </c>
      <c r="L1076" s="25">
        <f>E1076*K1076*(1-F1076)</f>
        <v/>
      </c>
      <c r="M1076" s="25">
        <f>L1076*VLOOKUP(D1076,Lookups!$A$5:$E$10,5,FALSE)</f>
        <v/>
      </c>
    </row>
    <row r="1077">
      <c r="A1077" s="21" t="inlineStr">
        <is>
          <t>INV-10485</t>
        </is>
      </c>
      <c r="B1077" s="22" t="n">
        <v>45986</v>
      </c>
      <c r="C1077" s="21" t="inlineStr">
        <is>
          <t>R04</t>
        </is>
      </c>
      <c r="D1077" s="21" t="inlineStr">
        <is>
          <t>P600</t>
        </is>
      </c>
      <c r="E1077" s="21" t="n">
        <v>12</v>
      </c>
      <c r="F1077" s="23" t="n">
        <v>0.1</v>
      </c>
      <c r="G1077" s="24">
        <f>TEXT(B1077,"mmm")</f>
        <v/>
      </c>
      <c r="H1077" s="24">
        <f>HLOOKUP(C1077,Lookups!$H$4:$K$5,2,FALSE)</f>
        <v/>
      </c>
      <c r="I1077" s="24">
        <f>VLOOKUP(D1077,Lookups!$A$5:$E$10,2,FALSE)</f>
        <v/>
      </c>
      <c r="J1077" s="24">
        <f>VLOOKUP(D1077,Lookups!$A$5:$E$10,3,FALSE)</f>
        <v/>
      </c>
      <c r="K1077" s="25">
        <f>VLOOKUP(D1077,Lookups!$A$5:$E$10,4,FALSE)</f>
        <v/>
      </c>
      <c r="L1077" s="25">
        <f>E1077*K1077*(1-F1077)</f>
        <v/>
      </c>
      <c r="M1077" s="25">
        <f>L1077*VLOOKUP(D1077,Lookups!$A$5:$E$10,5,FALSE)</f>
        <v/>
      </c>
    </row>
    <row r="1078">
      <c r="A1078" s="21" t="inlineStr">
        <is>
          <t>INV-10520</t>
        </is>
      </c>
      <c r="B1078" s="22" t="n">
        <v>45986</v>
      </c>
      <c r="C1078" s="21" t="inlineStr">
        <is>
          <t>R04</t>
        </is>
      </c>
      <c r="D1078" s="21" t="inlineStr">
        <is>
          <t>P600</t>
        </is>
      </c>
      <c r="E1078" s="21" t="n">
        <v>15</v>
      </c>
      <c r="F1078" s="23" t="n">
        <v>0</v>
      </c>
      <c r="G1078" s="24">
        <f>TEXT(B1078,"mmm")</f>
        <v/>
      </c>
      <c r="H1078" s="24">
        <f>HLOOKUP(C1078,Lookups!$H$4:$K$5,2,FALSE)</f>
        <v/>
      </c>
      <c r="I1078" s="24">
        <f>VLOOKUP(D1078,Lookups!$A$5:$E$10,2,FALSE)</f>
        <v/>
      </c>
      <c r="J1078" s="24">
        <f>VLOOKUP(D1078,Lookups!$A$5:$E$10,3,FALSE)</f>
        <v/>
      </c>
      <c r="K1078" s="25">
        <f>VLOOKUP(D1078,Lookups!$A$5:$E$10,4,FALSE)</f>
        <v/>
      </c>
      <c r="L1078" s="25">
        <f>E1078*K1078*(1-F1078)</f>
        <v/>
      </c>
      <c r="M1078" s="25">
        <f>L1078*VLOOKUP(D1078,Lookups!$A$5:$E$10,5,FALSE)</f>
        <v/>
      </c>
    </row>
    <row r="1079">
      <c r="A1079" s="21" t="inlineStr">
        <is>
          <t>INV-10646</t>
        </is>
      </c>
      <c r="B1079" s="22" t="n">
        <v>45986</v>
      </c>
      <c r="C1079" s="21" t="inlineStr">
        <is>
          <t>R02</t>
        </is>
      </c>
      <c r="D1079" s="21" t="inlineStr">
        <is>
          <t>P600</t>
        </is>
      </c>
      <c r="E1079" s="21" t="n">
        <v>3</v>
      </c>
      <c r="F1079" s="23" t="n">
        <v>0</v>
      </c>
      <c r="G1079" s="24">
        <f>TEXT(B1079,"mmm")</f>
        <v/>
      </c>
      <c r="H1079" s="24">
        <f>HLOOKUP(C1079,Lookups!$H$4:$K$5,2,FALSE)</f>
        <v/>
      </c>
      <c r="I1079" s="24">
        <f>VLOOKUP(D1079,Lookups!$A$5:$E$10,2,FALSE)</f>
        <v/>
      </c>
      <c r="J1079" s="24">
        <f>VLOOKUP(D1079,Lookups!$A$5:$E$10,3,FALSE)</f>
        <v/>
      </c>
      <c r="K1079" s="25">
        <f>VLOOKUP(D1079,Lookups!$A$5:$E$10,4,FALSE)</f>
        <v/>
      </c>
      <c r="L1079" s="25">
        <f>E1079*K1079*(1-F1079)</f>
        <v/>
      </c>
      <c r="M1079" s="25">
        <f>L1079*VLOOKUP(D1079,Lookups!$A$5:$E$10,5,FALSE)</f>
        <v/>
      </c>
    </row>
    <row r="1080">
      <c r="A1080" s="21" t="inlineStr">
        <is>
          <t>INV-10921</t>
        </is>
      </c>
      <c r="B1080" s="22" t="n">
        <v>45986</v>
      </c>
      <c r="C1080" s="21" t="inlineStr">
        <is>
          <t>R02</t>
        </is>
      </c>
      <c r="D1080" s="21" t="inlineStr">
        <is>
          <t>P500</t>
        </is>
      </c>
      <c r="E1080" s="21" t="n">
        <v>2</v>
      </c>
      <c r="F1080" s="23" t="n">
        <v>0.05</v>
      </c>
      <c r="G1080" s="24">
        <f>TEXT(B1080,"mmm")</f>
        <v/>
      </c>
      <c r="H1080" s="24">
        <f>HLOOKUP(C1080,Lookups!$H$4:$K$5,2,FALSE)</f>
        <v/>
      </c>
      <c r="I1080" s="24">
        <f>VLOOKUP(D1080,Lookups!$A$5:$E$10,2,FALSE)</f>
        <v/>
      </c>
      <c r="J1080" s="24">
        <f>VLOOKUP(D1080,Lookups!$A$5:$E$10,3,FALSE)</f>
        <v/>
      </c>
      <c r="K1080" s="25">
        <f>VLOOKUP(D1080,Lookups!$A$5:$E$10,4,FALSE)</f>
        <v/>
      </c>
      <c r="L1080" s="25">
        <f>E1080*K1080*(1-F1080)</f>
        <v/>
      </c>
      <c r="M1080" s="25">
        <f>L1080*VLOOKUP(D1080,Lookups!$A$5:$E$10,5,FALSE)</f>
        <v/>
      </c>
    </row>
    <row r="1081">
      <c r="A1081" s="21" t="inlineStr">
        <is>
          <t>INV-10359</t>
        </is>
      </c>
      <c r="B1081" s="22" t="n">
        <v>45987</v>
      </c>
      <c r="C1081" s="21" t="inlineStr">
        <is>
          <t>R04</t>
        </is>
      </c>
      <c r="D1081" s="21" t="inlineStr">
        <is>
          <t>P200</t>
        </is>
      </c>
      <c r="E1081" s="21" t="n">
        <v>23</v>
      </c>
      <c r="F1081" s="23" t="n">
        <v>0.1</v>
      </c>
      <c r="G1081" s="24">
        <f>TEXT(B1081,"mmm")</f>
        <v/>
      </c>
      <c r="H1081" s="24">
        <f>HLOOKUP(C1081,Lookups!$H$4:$K$5,2,FALSE)</f>
        <v/>
      </c>
      <c r="I1081" s="24">
        <f>VLOOKUP(D1081,Lookups!$A$5:$E$10,2,FALSE)</f>
        <v/>
      </c>
      <c r="J1081" s="24">
        <f>VLOOKUP(D1081,Lookups!$A$5:$E$10,3,FALSE)</f>
        <v/>
      </c>
      <c r="K1081" s="25">
        <f>VLOOKUP(D1081,Lookups!$A$5:$E$10,4,FALSE)</f>
        <v/>
      </c>
      <c r="L1081" s="25">
        <f>E1081*K1081*(1-F1081)</f>
        <v/>
      </c>
      <c r="M1081" s="25">
        <f>L1081*VLOOKUP(D1081,Lookups!$A$5:$E$10,5,FALSE)</f>
        <v/>
      </c>
    </row>
    <row r="1082">
      <c r="A1082" s="21" t="inlineStr">
        <is>
          <t>INV-10150</t>
        </is>
      </c>
      <c r="B1082" s="22" t="n">
        <v>45988</v>
      </c>
      <c r="C1082" s="21" t="inlineStr">
        <is>
          <t>R04</t>
        </is>
      </c>
      <c r="D1082" s="21" t="inlineStr">
        <is>
          <t>P600</t>
        </is>
      </c>
      <c r="E1082" s="21" t="n">
        <v>15</v>
      </c>
      <c r="F1082" s="23" t="n">
        <v>0</v>
      </c>
      <c r="G1082" s="24">
        <f>TEXT(B1082,"mmm")</f>
        <v/>
      </c>
      <c r="H1082" s="24">
        <f>HLOOKUP(C1082,Lookups!$H$4:$K$5,2,FALSE)</f>
        <v/>
      </c>
      <c r="I1082" s="24">
        <f>VLOOKUP(D1082,Lookups!$A$5:$E$10,2,FALSE)</f>
        <v/>
      </c>
      <c r="J1082" s="24">
        <f>VLOOKUP(D1082,Lookups!$A$5:$E$10,3,FALSE)</f>
        <v/>
      </c>
      <c r="K1082" s="25">
        <f>VLOOKUP(D1082,Lookups!$A$5:$E$10,4,FALSE)</f>
        <v/>
      </c>
      <c r="L1082" s="25">
        <f>E1082*K1082*(1-F1082)</f>
        <v/>
      </c>
      <c r="M1082" s="25">
        <f>L1082*VLOOKUP(D1082,Lookups!$A$5:$E$10,5,FALSE)</f>
        <v/>
      </c>
    </row>
    <row r="1083">
      <c r="A1083" s="21" t="inlineStr">
        <is>
          <t>INV-10537</t>
        </is>
      </c>
      <c r="B1083" s="22" t="n">
        <v>45988</v>
      </c>
      <c r="C1083" s="21" t="inlineStr">
        <is>
          <t>R01</t>
        </is>
      </c>
      <c r="D1083" s="21" t="inlineStr">
        <is>
          <t>P300</t>
        </is>
      </c>
      <c r="E1083" s="21" t="n">
        <v>17</v>
      </c>
      <c r="F1083" s="23" t="n">
        <v>0</v>
      </c>
      <c r="G1083" s="24">
        <f>TEXT(B1083,"mmm")</f>
        <v/>
      </c>
      <c r="H1083" s="24">
        <f>HLOOKUP(C1083,Lookups!$H$4:$K$5,2,FALSE)</f>
        <v/>
      </c>
      <c r="I1083" s="24">
        <f>VLOOKUP(D1083,Lookups!$A$5:$E$10,2,FALSE)</f>
        <v/>
      </c>
      <c r="J1083" s="24">
        <f>VLOOKUP(D1083,Lookups!$A$5:$E$10,3,FALSE)</f>
        <v/>
      </c>
      <c r="K1083" s="25">
        <f>VLOOKUP(D1083,Lookups!$A$5:$E$10,4,FALSE)</f>
        <v/>
      </c>
      <c r="L1083" s="25">
        <f>E1083*K1083*(1-F1083)</f>
        <v/>
      </c>
      <c r="M1083" s="25">
        <f>L1083*VLOOKUP(D1083,Lookups!$A$5:$E$10,5,FALSE)</f>
        <v/>
      </c>
    </row>
    <row r="1084">
      <c r="A1084" s="21" t="inlineStr">
        <is>
          <t>INV-10943</t>
        </is>
      </c>
      <c r="B1084" s="22" t="n">
        <v>45988</v>
      </c>
      <c r="C1084" s="21" t="inlineStr">
        <is>
          <t>R02</t>
        </is>
      </c>
      <c r="D1084" s="21" t="inlineStr">
        <is>
          <t>P500</t>
        </is>
      </c>
      <c r="E1084" s="21" t="n">
        <v>6</v>
      </c>
      <c r="F1084" s="23" t="n">
        <v>0</v>
      </c>
      <c r="G1084" s="24">
        <f>TEXT(B1084,"mmm")</f>
        <v/>
      </c>
      <c r="H1084" s="24">
        <f>HLOOKUP(C1084,Lookups!$H$4:$K$5,2,FALSE)</f>
        <v/>
      </c>
      <c r="I1084" s="24">
        <f>VLOOKUP(D1084,Lookups!$A$5:$E$10,2,FALSE)</f>
        <v/>
      </c>
      <c r="J1084" s="24">
        <f>VLOOKUP(D1084,Lookups!$A$5:$E$10,3,FALSE)</f>
        <v/>
      </c>
      <c r="K1084" s="25">
        <f>VLOOKUP(D1084,Lookups!$A$5:$E$10,4,FALSE)</f>
        <v/>
      </c>
      <c r="L1084" s="25">
        <f>E1084*K1084*(1-F1084)</f>
        <v/>
      </c>
      <c r="M1084" s="25">
        <f>L1084*VLOOKUP(D1084,Lookups!$A$5:$E$10,5,FALSE)</f>
        <v/>
      </c>
    </row>
    <row r="1085">
      <c r="A1085" s="21" t="inlineStr">
        <is>
          <t>INV-10946</t>
        </is>
      </c>
      <c r="B1085" s="22" t="n">
        <v>45988</v>
      </c>
      <c r="C1085" s="21" t="inlineStr">
        <is>
          <t>R01</t>
        </is>
      </c>
      <c r="D1085" s="21" t="inlineStr">
        <is>
          <t>P500</t>
        </is>
      </c>
      <c r="E1085" s="21" t="n">
        <v>10</v>
      </c>
      <c r="F1085" s="23" t="n">
        <v>0</v>
      </c>
      <c r="G1085" s="24">
        <f>TEXT(B1085,"mmm")</f>
        <v/>
      </c>
      <c r="H1085" s="24">
        <f>HLOOKUP(C1085,Lookups!$H$4:$K$5,2,FALSE)</f>
        <v/>
      </c>
      <c r="I1085" s="24">
        <f>VLOOKUP(D1085,Lookups!$A$5:$E$10,2,FALSE)</f>
        <v/>
      </c>
      <c r="J1085" s="24">
        <f>VLOOKUP(D1085,Lookups!$A$5:$E$10,3,FALSE)</f>
        <v/>
      </c>
      <c r="K1085" s="25">
        <f>VLOOKUP(D1085,Lookups!$A$5:$E$10,4,FALSE)</f>
        <v/>
      </c>
      <c r="L1085" s="25">
        <f>E1085*K1085*(1-F1085)</f>
        <v/>
      </c>
      <c r="M1085" s="25">
        <f>L1085*VLOOKUP(D1085,Lookups!$A$5:$E$10,5,FALSE)</f>
        <v/>
      </c>
    </row>
    <row r="1086">
      <c r="A1086" s="21" t="inlineStr">
        <is>
          <t>INV-10196</t>
        </is>
      </c>
      <c r="B1086" s="22" t="n">
        <v>45989</v>
      </c>
      <c r="C1086" s="21" t="inlineStr">
        <is>
          <t>R04</t>
        </is>
      </c>
      <c r="D1086" s="21" t="inlineStr">
        <is>
          <t>P200</t>
        </is>
      </c>
      <c r="E1086" s="21" t="n">
        <v>23</v>
      </c>
      <c r="F1086" s="23" t="n">
        <v>0.05</v>
      </c>
      <c r="G1086" s="24">
        <f>TEXT(B1086,"mmm")</f>
        <v/>
      </c>
      <c r="H1086" s="24">
        <f>HLOOKUP(C1086,Lookups!$H$4:$K$5,2,FALSE)</f>
        <v/>
      </c>
      <c r="I1086" s="24">
        <f>VLOOKUP(D1086,Lookups!$A$5:$E$10,2,FALSE)</f>
        <v/>
      </c>
      <c r="J1086" s="24">
        <f>VLOOKUP(D1086,Lookups!$A$5:$E$10,3,FALSE)</f>
        <v/>
      </c>
      <c r="K1086" s="25">
        <f>VLOOKUP(D1086,Lookups!$A$5:$E$10,4,FALSE)</f>
        <v/>
      </c>
      <c r="L1086" s="25">
        <f>E1086*K1086*(1-F1086)</f>
        <v/>
      </c>
      <c r="M1086" s="25">
        <f>L1086*VLOOKUP(D1086,Lookups!$A$5:$E$10,5,FALSE)</f>
        <v/>
      </c>
    </row>
    <row r="1087">
      <c r="A1087" s="21" t="inlineStr">
        <is>
          <t>INV-10242</t>
        </is>
      </c>
      <c r="B1087" s="22" t="n">
        <v>45989</v>
      </c>
      <c r="C1087" s="21" t="inlineStr">
        <is>
          <t>R04</t>
        </is>
      </c>
      <c r="D1087" s="21" t="inlineStr">
        <is>
          <t>P100</t>
        </is>
      </c>
      <c r="E1087" s="21" t="n">
        <v>23</v>
      </c>
      <c r="F1087" s="23" t="n">
        <v>0.05</v>
      </c>
      <c r="G1087" s="24">
        <f>TEXT(B1087,"mmm")</f>
        <v/>
      </c>
      <c r="H1087" s="24">
        <f>HLOOKUP(C1087,Lookups!$H$4:$K$5,2,FALSE)</f>
        <v/>
      </c>
      <c r="I1087" s="24">
        <f>VLOOKUP(D1087,Lookups!$A$5:$E$10,2,FALSE)</f>
        <v/>
      </c>
      <c r="J1087" s="24">
        <f>VLOOKUP(D1087,Lookups!$A$5:$E$10,3,FALSE)</f>
        <v/>
      </c>
      <c r="K1087" s="25">
        <f>VLOOKUP(D1087,Lookups!$A$5:$E$10,4,FALSE)</f>
        <v/>
      </c>
      <c r="L1087" s="25">
        <f>E1087*K1087*(1-F1087)</f>
        <v/>
      </c>
      <c r="M1087" s="25">
        <f>L1087*VLOOKUP(D1087,Lookups!$A$5:$E$10,5,FALSE)</f>
        <v/>
      </c>
    </row>
    <row r="1088">
      <c r="A1088" s="21" t="inlineStr">
        <is>
          <t>INV-10506</t>
        </is>
      </c>
      <c r="B1088" s="22" t="n">
        <v>45989</v>
      </c>
      <c r="C1088" s="21" t="inlineStr">
        <is>
          <t>R04</t>
        </is>
      </c>
      <c r="D1088" s="21" t="inlineStr">
        <is>
          <t>P100</t>
        </is>
      </c>
      <c r="E1088" s="21" t="n">
        <v>12</v>
      </c>
      <c r="F1088" s="23" t="n">
        <v>0</v>
      </c>
      <c r="G1088" s="24">
        <f>TEXT(B1088,"mmm")</f>
        <v/>
      </c>
      <c r="H1088" s="24">
        <f>HLOOKUP(C1088,Lookups!$H$4:$K$5,2,FALSE)</f>
        <v/>
      </c>
      <c r="I1088" s="24">
        <f>VLOOKUP(D1088,Lookups!$A$5:$E$10,2,FALSE)</f>
        <v/>
      </c>
      <c r="J1088" s="24">
        <f>VLOOKUP(D1088,Lookups!$A$5:$E$10,3,FALSE)</f>
        <v/>
      </c>
      <c r="K1088" s="25">
        <f>VLOOKUP(D1088,Lookups!$A$5:$E$10,4,FALSE)</f>
        <v/>
      </c>
      <c r="L1088" s="25">
        <f>E1088*K1088*(1-F1088)</f>
        <v/>
      </c>
      <c r="M1088" s="25">
        <f>L1088*VLOOKUP(D1088,Lookups!$A$5:$E$10,5,FALSE)</f>
        <v/>
      </c>
    </row>
    <row r="1089">
      <c r="A1089" s="21" t="inlineStr">
        <is>
          <t>INV-10714</t>
        </is>
      </c>
      <c r="B1089" s="22" t="n">
        <v>45989</v>
      </c>
      <c r="C1089" s="21" t="inlineStr">
        <is>
          <t>R04</t>
        </is>
      </c>
      <c r="D1089" s="21" t="inlineStr">
        <is>
          <t>P300</t>
        </is>
      </c>
      <c r="E1089" s="21" t="n">
        <v>14</v>
      </c>
      <c r="F1089" s="23" t="n">
        <v>0.1</v>
      </c>
      <c r="G1089" s="24">
        <f>TEXT(B1089,"mmm")</f>
        <v/>
      </c>
      <c r="H1089" s="24">
        <f>HLOOKUP(C1089,Lookups!$H$4:$K$5,2,FALSE)</f>
        <v/>
      </c>
      <c r="I1089" s="24">
        <f>VLOOKUP(D1089,Lookups!$A$5:$E$10,2,FALSE)</f>
        <v/>
      </c>
      <c r="J1089" s="24">
        <f>VLOOKUP(D1089,Lookups!$A$5:$E$10,3,FALSE)</f>
        <v/>
      </c>
      <c r="K1089" s="25">
        <f>VLOOKUP(D1089,Lookups!$A$5:$E$10,4,FALSE)</f>
        <v/>
      </c>
      <c r="L1089" s="25">
        <f>E1089*K1089*(1-F1089)</f>
        <v/>
      </c>
      <c r="M1089" s="25">
        <f>L1089*VLOOKUP(D1089,Lookups!$A$5:$E$10,5,FALSE)</f>
        <v/>
      </c>
    </row>
    <row r="1090">
      <c r="A1090" s="21" t="inlineStr">
        <is>
          <t>INV-10904</t>
        </is>
      </c>
      <c r="B1090" s="22" t="n">
        <v>45989</v>
      </c>
      <c r="C1090" s="21" t="inlineStr">
        <is>
          <t>R04</t>
        </is>
      </c>
      <c r="D1090" s="21" t="inlineStr">
        <is>
          <t>P500</t>
        </is>
      </c>
      <c r="E1090" s="21" t="n">
        <v>8</v>
      </c>
      <c r="F1090" s="23" t="n">
        <v>0.05</v>
      </c>
      <c r="G1090" s="24">
        <f>TEXT(B1090,"mmm")</f>
        <v/>
      </c>
      <c r="H1090" s="24">
        <f>HLOOKUP(C1090,Lookups!$H$4:$K$5,2,FALSE)</f>
        <v/>
      </c>
      <c r="I1090" s="24">
        <f>VLOOKUP(D1090,Lookups!$A$5:$E$10,2,FALSE)</f>
        <v/>
      </c>
      <c r="J1090" s="24">
        <f>VLOOKUP(D1090,Lookups!$A$5:$E$10,3,FALSE)</f>
        <v/>
      </c>
      <c r="K1090" s="25">
        <f>VLOOKUP(D1090,Lookups!$A$5:$E$10,4,FALSE)</f>
        <v/>
      </c>
      <c r="L1090" s="25">
        <f>E1090*K1090*(1-F1090)</f>
        <v/>
      </c>
      <c r="M1090" s="25">
        <f>L1090*VLOOKUP(D1090,Lookups!$A$5:$E$10,5,FALSE)</f>
        <v/>
      </c>
    </row>
    <row r="1091">
      <c r="A1091" s="21" t="inlineStr">
        <is>
          <t>INV-10005</t>
        </is>
      </c>
      <c r="B1091" s="22" t="n">
        <v>45990</v>
      </c>
      <c r="C1091" s="21" t="inlineStr">
        <is>
          <t>R04</t>
        </is>
      </c>
      <c r="D1091" s="21" t="inlineStr">
        <is>
          <t>P600</t>
        </is>
      </c>
      <c r="E1091" s="21" t="n">
        <v>8</v>
      </c>
      <c r="F1091" s="23" t="n">
        <v>0.1</v>
      </c>
      <c r="G1091" s="24">
        <f>TEXT(B1091,"mmm")</f>
        <v/>
      </c>
      <c r="H1091" s="24">
        <f>HLOOKUP(C1091,Lookups!$H$4:$K$5,2,FALSE)</f>
        <v/>
      </c>
      <c r="I1091" s="24">
        <f>VLOOKUP(D1091,Lookups!$A$5:$E$10,2,FALSE)</f>
        <v/>
      </c>
      <c r="J1091" s="24">
        <f>VLOOKUP(D1091,Lookups!$A$5:$E$10,3,FALSE)</f>
        <v/>
      </c>
      <c r="K1091" s="25">
        <f>VLOOKUP(D1091,Lookups!$A$5:$E$10,4,FALSE)</f>
        <v/>
      </c>
      <c r="L1091" s="25">
        <f>E1091*K1091*(1-F1091)</f>
        <v/>
      </c>
      <c r="M1091" s="25">
        <f>L1091*VLOOKUP(D1091,Lookups!$A$5:$E$10,5,FALSE)</f>
        <v/>
      </c>
    </row>
    <row r="1092">
      <c r="A1092" s="21" t="inlineStr">
        <is>
          <t>INV-10130</t>
        </is>
      </c>
      <c r="B1092" s="22" t="n">
        <v>45990</v>
      </c>
      <c r="C1092" s="21" t="inlineStr">
        <is>
          <t>R01</t>
        </is>
      </c>
      <c r="D1092" s="21" t="inlineStr">
        <is>
          <t>P100</t>
        </is>
      </c>
      <c r="E1092" s="21" t="n">
        <v>25</v>
      </c>
      <c r="F1092" s="23" t="n">
        <v>0</v>
      </c>
      <c r="G1092" s="24">
        <f>TEXT(B1092,"mmm")</f>
        <v/>
      </c>
      <c r="H1092" s="24">
        <f>HLOOKUP(C1092,Lookups!$H$4:$K$5,2,FALSE)</f>
        <v/>
      </c>
      <c r="I1092" s="24">
        <f>VLOOKUP(D1092,Lookups!$A$5:$E$10,2,FALSE)</f>
        <v/>
      </c>
      <c r="J1092" s="24">
        <f>VLOOKUP(D1092,Lookups!$A$5:$E$10,3,FALSE)</f>
        <v/>
      </c>
      <c r="K1092" s="25">
        <f>VLOOKUP(D1092,Lookups!$A$5:$E$10,4,FALSE)</f>
        <v/>
      </c>
      <c r="L1092" s="25">
        <f>E1092*K1092*(1-F1092)</f>
        <v/>
      </c>
      <c r="M1092" s="25">
        <f>L1092*VLOOKUP(D1092,Lookups!$A$5:$E$10,5,FALSE)</f>
        <v/>
      </c>
    </row>
    <row r="1093">
      <c r="A1093" s="21" t="inlineStr">
        <is>
          <t>INV-10243</t>
        </is>
      </c>
      <c r="B1093" s="22" t="n">
        <v>45990</v>
      </c>
      <c r="C1093" s="21" t="inlineStr">
        <is>
          <t>R01</t>
        </is>
      </c>
      <c r="D1093" s="21" t="inlineStr">
        <is>
          <t>P400</t>
        </is>
      </c>
      <c r="E1093" s="21" t="n">
        <v>5</v>
      </c>
      <c r="F1093" s="23" t="n">
        <v>0</v>
      </c>
      <c r="G1093" s="24">
        <f>TEXT(B1093,"mmm")</f>
        <v/>
      </c>
      <c r="H1093" s="24">
        <f>HLOOKUP(C1093,Lookups!$H$4:$K$5,2,FALSE)</f>
        <v/>
      </c>
      <c r="I1093" s="24">
        <f>VLOOKUP(D1093,Lookups!$A$5:$E$10,2,FALSE)</f>
        <v/>
      </c>
      <c r="J1093" s="24">
        <f>VLOOKUP(D1093,Lookups!$A$5:$E$10,3,FALSE)</f>
        <v/>
      </c>
      <c r="K1093" s="25">
        <f>VLOOKUP(D1093,Lookups!$A$5:$E$10,4,FALSE)</f>
        <v/>
      </c>
      <c r="L1093" s="25">
        <f>E1093*K1093*(1-F1093)</f>
        <v/>
      </c>
      <c r="M1093" s="25">
        <f>L1093*VLOOKUP(D1093,Lookups!$A$5:$E$10,5,FALSE)</f>
        <v/>
      </c>
    </row>
    <row r="1094">
      <c r="A1094" s="21" t="inlineStr">
        <is>
          <t>INV-10380</t>
        </is>
      </c>
      <c r="B1094" s="22" t="n">
        <v>45990</v>
      </c>
      <c r="C1094" s="21" t="inlineStr">
        <is>
          <t>R02</t>
        </is>
      </c>
      <c r="D1094" s="21" t="inlineStr">
        <is>
          <t>P300</t>
        </is>
      </c>
      <c r="E1094" s="21" t="n">
        <v>4</v>
      </c>
      <c r="F1094" s="23" t="n">
        <v>0</v>
      </c>
      <c r="G1094" s="24">
        <f>TEXT(B1094,"mmm")</f>
        <v/>
      </c>
      <c r="H1094" s="24">
        <f>HLOOKUP(C1094,Lookups!$H$4:$K$5,2,FALSE)</f>
        <v/>
      </c>
      <c r="I1094" s="24">
        <f>VLOOKUP(D1094,Lookups!$A$5:$E$10,2,FALSE)</f>
        <v/>
      </c>
      <c r="J1094" s="24">
        <f>VLOOKUP(D1094,Lookups!$A$5:$E$10,3,FALSE)</f>
        <v/>
      </c>
      <c r="K1094" s="25">
        <f>VLOOKUP(D1094,Lookups!$A$5:$E$10,4,FALSE)</f>
        <v/>
      </c>
      <c r="L1094" s="25">
        <f>E1094*K1094*(1-F1094)</f>
        <v/>
      </c>
      <c r="M1094" s="25">
        <f>L1094*VLOOKUP(D1094,Lookups!$A$5:$E$10,5,FALSE)</f>
        <v/>
      </c>
    </row>
    <row r="1095">
      <c r="A1095" s="21" t="inlineStr">
        <is>
          <t>INV-10735</t>
        </is>
      </c>
      <c r="B1095" s="22" t="n">
        <v>45990</v>
      </c>
      <c r="C1095" s="21" t="inlineStr">
        <is>
          <t>R02</t>
        </is>
      </c>
      <c r="D1095" s="21" t="inlineStr">
        <is>
          <t>P300</t>
        </is>
      </c>
      <c r="E1095" s="21" t="n">
        <v>23</v>
      </c>
      <c r="F1095" s="23" t="n">
        <v>0.05</v>
      </c>
      <c r="G1095" s="24">
        <f>TEXT(B1095,"mmm")</f>
        <v/>
      </c>
      <c r="H1095" s="24">
        <f>HLOOKUP(C1095,Lookups!$H$4:$K$5,2,FALSE)</f>
        <v/>
      </c>
      <c r="I1095" s="24">
        <f>VLOOKUP(D1095,Lookups!$A$5:$E$10,2,FALSE)</f>
        <v/>
      </c>
      <c r="J1095" s="24">
        <f>VLOOKUP(D1095,Lookups!$A$5:$E$10,3,FALSE)</f>
        <v/>
      </c>
      <c r="K1095" s="25">
        <f>VLOOKUP(D1095,Lookups!$A$5:$E$10,4,FALSE)</f>
        <v/>
      </c>
      <c r="L1095" s="25">
        <f>E1095*K1095*(1-F1095)</f>
        <v/>
      </c>
      <c r="M1095" s="25">
        <f>L1095*VLOOKUP(D1095,Lookups!$A$5:$E$10,5,FALSE)</f>
        <v/>
      </c>
    </row>
    <row r="1096">
      <c r="A1096" s="21" t="inlineStr">
        <is>
          <t>INV-10970</t>
        </is>
      </c>
      <c r="B1096" s="22" t="n">
        <v>45990</v>
      </c>
      <c r="C1096" s="21" t="inlineStr">
        <is>
          <t>R01</t>
        </is>
      </c>
      <c r="D1096" s="21" t="inlineStr">
        <is>
          <t>P300</t>
        </is>
      </c>
      <c r="E1096" s="21" t="n">
        <v>23</v>
      </c>
      <c r="F1096" s="23" t="n">
        <v>0.05</v>
      </c>
      <c r="G1096" s="24">
        <f>TEXT(B1096,"mmm")</f>
        <v/>
      </c>
      <c r="H1096" s="24">
        <f>HLOOKUP(C1096,Lookups!$H$4:$K$5,2,FALSE)</f>
        <v/>
      </c>
      <c r="I1096" s="24">
        <f>VLOOKUP(D1096,Lookups!$A$5:$E$10,2,FALSE)</f>
        <v/>
      </c>
      <c r="J1096" s="24">
        <f>VLOOKUP(D1096,Lookups!$A$5:$E$10,3,FALSE)</f>
        <v/>
      </c>
      <c r="K1096" s="25">
        <f>VLOOKUP(D1096,Lookups!$A$5:$E$10,4,FALSE)</f>
        <v/>
      </c>
      <c r="L1096" s="25">
        <f>E1096*K1096*(1-F1096)</f>
        <v/>
      </c>
      <c r="M1096" s="25">
        <f>L1096*VLOOKUP(D1096,Lookups!$A$5:$E$10,5,FALSE)</f>
        <v/>
      </c>
    </row>
    <row r="1097">
      <c r="A1097" s="21" t="inlineStr">
        <is>
          <t>INV-11163</t>
        </is>
      </c>
      <c r="B1097" s="22" t="n">
        <v>45991</v>
      </c>
      <c r="C1097" s="21" t="inlineStr">
        <is>
          <t>R02</t>
        </is>
      </c>
      <c r="D1097" s="21" t="inlineStr">
        <is>
          <t>P500</t>
        </is>
      </c>
      <c r="E1097" s="21" t="n">
        <v>18</v>
      </c>
      <c r="F1097" s="23" t="n">
        <v>0</v>
      </c>
      <c r="G1097" s="24">
        <f>TEXT(B1097,"mmm")</f>
        <v/>
      </c>
      <c r="H1097" s="24">
        <f>HLOOKUP(C1097,Lookups!$H$4:$K$5,2,FALSE)</f>
        <v/>
      </c>
      <c r="I1097" s="24">
        <f>VLOOKUP(D1097,Lookups!$A$5:$E$10,2,FALSE)</f>
        <v/>
      </c>
      <c r="J1097" s="24">
        <f>VLOOKUP(D1097,Lookups!$A$5:$E$10,3,FALSE)</f>
        <v/>
      </c>
      <c r="K1097" s="25">
        <f>VLOOKUP(D1097,Lookups!$A$5:$E$10,4,FALSE)</f>
        <v/>
      </c>
      <c r="L1097" s="25">
        <f>E1097*K1097*(1-F1097)</f>
        <v/>
      </c>
      <c r="M1097" s="25">
        <f>L1097*VLOOKUP(D1097,Lookups!$A$5:$E$10,5,FALSE)</f>
        <v/>
      </c>
    </row>
    <row r="1098">
      <c r="A1098" s="21" t="inlineStr">
        <is>
          <t>INV-10487</t>
        </is>
      </c>
      <c r="B1098" s="22" t="n">
        <v>45992</v>
      </c>
      <c r="C1098" s="21" t="inlineStr">
        <is>
          <t>R01</t>
        </is>
      </c>
      <c r="D1098" s="21" t="inlineStr">
        <is>
          <t>P300</t>
        </is>
      </c>
      <c r="E1098" s="21" t="n">
        <v>6</v>
      </c>
      <c r="F1098" s="23" t="n">
        <v>0.1</v>
      </c>
      <c r="G1098" s="24">
        <f>TEXT(B1098,"mmm")</f>
        <v/>
      </c>
      <c r="H1098" s="24">
        <f>HLOOKUP(C1098,Lookups!$H$4:$K$5,2,FALSE)</f>
        <v/>
      </c>
      <c r="I1098" s="24">
        <f>VLOOKUP(D1098,Lookups!$A$5:$E$10,2,FALSE)</f>
        <v/>
      </c>
      <c r="J1098" s="24">
        <f>VLOOKUP(D1098,Lookups!$A$5:$E$10,3,FALSE)</f>
        <v/>
      </c>
      <c r="K1098" s="25">
        <f>VLOOKUP(D1098,Lookups!$A$5:$E$10,4,FALSE)</f>
        <v/>
      </c>
      <c r="L1098" s="25">
        <f>E1098*K1098*(1-F1098)</f>
        <v/>
      </c>
      <c r="M1098" s="25">
        <f>L1098*VLOOKUP(D1098,Lookups!$A$5:$E$10,5,FALSE)</f>
        <v/>
      </c>
    </row>
    <row r="1099">
      <c r="A1099" s="21" t="inlineStr">
        <is>
          <t>INV-10534</t>
        </is>
      </c>
      <c r="B1099" s="22" t="n">
        <v>45992</v>
      </c>
      <c r="C1099" s="21" t="inlineStr">
        <is>
          <t>R01</t>
        </is>
      </c>
      <c r="D1099" s="21" t="inlineStr">
        <is>
          <t>P600</t>
        </is>
      </c>
      <c r="E1099" s="21" t="n">
        <v>3</v>
      </c>
      <c r="F1099" s="23" t="n">
        <v>0.1</v>
      </c>
      <c r="G1099" s="24">
        <f>TEXT(B1099,"mmm")</f>
        <v/>
      </c>
      <c r="H1099" s="24">
        <f>HLOOKUP(C1099,Lookups!$H$4:$K$5,2,FALSE)</f>
        <v/>
      </c>
      <c r="I1099" s="24">
        <f>VLOOKUP(D1099,Lookups!$A$5:$E$10,2,FALSE)</f>
        <v/>
      </c>
      <c r="J1099" s="24">
        <f>VLOOKUP(D1099,Lookups!$A$5:$E$10,3,FALSE)</f>
        <v/>
      </c>
      <c r="K1099" s="25">
        <f>VLOOKUP(D1099,Lookups!$A$5:$E$10,4,FALSE)</f>
        <v/>
      </c>
      <c r="L1099" s="25">
        <f>E1099*K1099*(1-F1099)</f>
        <v/>
      </c>
      <c r="M1099" s="25">
        <f>L1099*VLOOKUP(D1099,Lookups!$A$5:$E$10,5,FALSE)</f>
        <v/>
      </c>
    </row>
    <row r="1100">
      <c r="A1100" s="21" t="inlineStr">
        <is>
          <t>INV-11063</t>
        </is>
      </c>
      <c r="B1100" s="22" t="n">
        <v>45992</v>
      </c>
      <c r="C1100" s="21" t="inlineStr">
        <is>
          <t>R03</t>
        </is>
      </c>
      <c r="D1100" s="21" t="inlineStr">
        <is>
          <t>P300</t>
        </is>
      </c>
      <c r="E1100" s="21" t="n">
        <v>20</v>
      </c>
      <c r="F1100" s="23" t="n">
        <v>0.1</v>
      </c>
      <c r="G1100" s="24">
        <f>TEXT(B1100,"mmm")</f>
        <v/>
      </c>
      <c r="H1100" s="24">
        <f>HLOOKUP(C1100,Lookups!$H$4:$K$5,2,FALSE)</f>
        <v/>
      </c>
      <c r="I1100" s="24">
        <f>VLOOKUP(D1100,Lookups!$A$5:$E$10,2,FALSE)</f>
        <v/>
      </c>
      <c r="J1100" s="24">
        <f>VLOOKUP(D1100,Lookups!$A$5:$E$10,3,FALSE)</f>
        <v/>
      </c>
      <c r="K1100" s="25">
        <f>VLOOKUP(D1100,Lookups!$A$5:$E$10,4,FALSE)</f>
        <v/>
      </c>
      <c r="L1100" s="25">
        <f>E1100*K1100*(1-F1100)</f>
        <v/>
      </c>
      <c r="M1100" s="25">
        <f>L1100*VLOOKUP(D1100,Lookups!$A$5:$E$10,5,FALSE)</f>
        <v/>
      </c>
    </row>
    <row r="1101">
      <c r="A1101" s="21" t="inlineStr">
        <is>
          <t>INV-10268</t>
        </is>
      </c>
      <c r="B1101" s="22" t="n">
        <v>45993</v>
      </c>
      <c r="C1101" s="21" t="inlineStr">
        <is>
          <t>R02</t>
        </is>
      </c>
      <c r="D1101" s="21" t="inlineStr">
        <is>
          <t>P600</t>
        </is>
      </c>
      <c r="E1101" s="21" t="n">
        <v>14</v>
      </c>
      <c r="F1101" s="23" t="n">
        <v>0.1</v>
      </c>
      <c r="G1101" s="24">
        <f>TEXT(B1101,"mmm")</f>
        <v/>
      </c>
      <c r="H1101" s="24">
        <f>HLOOKUP(C1101,Lookups!$H$4:$K$5,2,FALSE)</f>
        <v/>
      </c>
      <c r="I1101" s="24">
        <f>VLOOKUP(D1101,Lookups!$A$5:$E$10,2,FALSE)</f>
        <v/>
      </c>
      <c r="J1101" s="24">
        <f>VLOOKUP(D1101,Lookups!$A$5:$E$10,3,FALSE)</f>
        <v/>
      </c>
      <c r="K1101" s="25">
        <f>VLOOKUP(D1101,Lookups!$A$5:$E$10,4,FALSE)</f>
        <v/>
      </c>
      <c r="L1101" s="25">
        <f>E1101*K1101*(1-F1101)</f>
        <v/>
      </c>
      <c r="M1101" s="25">
        <f>L1101*VLOOKUP(D1101,Lookups!$A$5:$E$10,5,FALSE)</f>
        <v/>
      </c>
    </row>
    <row r="1102">
      <c r="A1102" s="21" t="inlineStr">
        <is>
          <t>INV-10306</t>
        </is>
      </c>
      <c r="B1102" s="22" t="n">
        <v>45993</v>
      </c>
      <c r="C1102" s="21" t="inlineStr">
        <is>
          <t>R02</t>
        </is>
      </c>
      <c r="D1102" s="21" t="inlineStr">
        <is>
          <t>P100</t>
        </is>
      </c>
      <c r="E1102" s="21" t="n">
        <v>25</v>
      </c>
      <c r="F1102" s="23" t="n">
        <v>0.1</v>
      </c>
      <c r="G1102" s="24">
        <f>TEXT(B1102,"mmm")</f>
        <v/>
      </c>
      <c r="H1102" s="24">
        <f>HLOOKUP(C1102,Lookups!$H$4:$K$5,2,FALSE)</f>
        <v/>
      </c>
      <c r="I1102" s="24">
        <f>VLOOKUP(D1102,Lookups!$A$5:$E$10,2,FALSE)</f>
        <v/>
      </c>
      <c r="J1102" s="24">
        <f>VLOOKUP(D1102,Lookups!$A$5:$E$10,3,FALSE)</f>
        <v/>
      </c>
      <c r="K1102" s="25">
        <f>VLOOKUP(D1102,Lookups!$A$5:$E$10,4,FALSE)</f>
        <v/>
      </c>
      <c r="L1102" s="25">
        <f>E1102*K1102*(1-F1102)</f>
        <v/>
      </c>
      <c r="M1102" s="25">
        <f>L1102*VLOOKUP(D1102,Lookups!$A$5:$E$10,5,FALSE)</f>
        <v/>
      </c>
    </row>
    <row r="1103">
      <c r="A1103" s="21" t="inlineStr">
        <is>
          <t>INV-10323</t>
        </is>
      </c>
      <c r="B1103" s="22" t="n">
        <v>45993</v>
      </c>
      <c r="C1103" s="21" t="inlineStr">
        <is>
          <t>R04</t>
        </is>
      </c>
      <c r="D1103" s="21" t="inlineStr">
        <is>
          <t>P600</t>
        </is>
      </c>
      <c r="E1103" s="21" t="n">
        <v>5</v>
      </c>
      <c r="F1103" s="23" t="n">
        <v>0</v>
      </c>
      <c r="G1103" s="24">
        <f>TEXT(B1103,"mmm")</f>
        <v/>
      </c>
      <c r="H1103" s="24">
        <f>HLOOKUP(C1103,Lookups!$H$4:$K$5,2,FALSE)</f>
        <v/>
      </c>
      <c r="I1103" s="24">
        <f>VLOOKUP(D1103,Lookups!$A$5:$E$10,2,FALSE)</f>
        <v/>
      </c>
      <c r="J1103" s="24">
        <f>VLOOKUP(D1103,Lookups!$A$5:$E$10,3,FALSE)</f>
        <v/>
      </c>
      <c r="K1103" s="25">
        <f>VLOOKUP(D1103,Lookups!$A$5:$E$10,4,FALSE)</f>
        <v/>
      </c>
      <c r="L1103" s="25">
        <f>E1103*K1103*(1-F1103)</f>
        <v/>
      </c>
      <c r="M1103" s="25">
        <f>L1103*VLOOKUP(D1103,Lookups!$A$5:$E$10,5,FALSE)</f>
        <v/>
      </c>
    </row>
    <row r="1104">
      <c r="A1104" s="21" t="inlineStr">
        <is>
          <t>INV-10808</t>
        </is>
      </c>
      <c r="B1104" s="22" t="n">
        <v>45993</v>
      </c>
      <c r="C1104" s="21" t="inlineStr">
        <is>
          <t>R03</t>
        </is>
      </c>
      <c r="D1104" s="21" t="inlineStr">
        <is>
          <t>P600</t>
        </is>
      </c>
      <c r="E1104" s="21" t="n">
        <v>7</v>
      </c>
      <c r="F1104" s="23" t="n">
        <v>0</v>
      </c>
      <c r="G1104" s="24">
        <f>TEXT(B1104,"mmm")</f>
        <v/>
      </c>
      <c r="H1104" s="24">
        <f>HLOOKUP(C1104,Lookups!$H$4:$K$5,2,FALSE)</f>
        <v/>
      </c>
      <c r="I1104" s="24">
        <f>VLOOKUP(D1104,Lookups!$A$5:$E$10,2,FALSE)</f>
        <v/>
      </c>
      <c r="J1104" s="24">
        <f>VLOOKUP(D1104,Lookups!$A$5:$E$10,3,FALSE)</f>
        <v/>
      </c>
      <c r="K1104" s="25">
        <f>VLOOKUP(D1104,Lookups!$A$5:$E$10,4,FALSE)</f>
        <v/>
      </c>
      <c r="L1104" s="25">
        <f>E1104*K1104*(1-F1104)</f>
        <v/>
      </c>
      <c r="M1104" s="25">
        <f>L1104*VLOOKUP(D1104,Lookups!$A$5:$E$10,5,FALSE)</f>
        <v/>
      </c>
    </row>
    <row r="1105">
      <c r="A1105" s="21" t="inlineStr">
        <is>
          <t>INV-10811</t>
        </is>
      </c>
      <c r="B1105" s="22" t="n">
        <v>45993</v>
      </c>
      <c r="C1105" s="21" t="inlineStr">
        <is>
          <t>R03</t>
        </is>
      </c>
      <c r="D1105" s="21" t="inlineStr">
        <is>
          <t>P400</t>
        </is>
      </c>
      <c r="E1105" s="21" t="n">
        <v>9</v>
      </c>
      <c r="F1105" s="23" t="n">
        <v>0.1</v>
      </c>
      <c r="G1105" s="24">
        <f>TEXT(B1105,"mmm")</f>
        <v/>
      </c>
      <c r="H1105" s="24">
        <f>HLOOKUP(C1105,Lookups!$H$4:$K$5,2,FALSE)</f>
        <v/>
      </c>
      <c r="I1105" s="24">
        <f>VLOOKUP(D1105,Lookups!$A$5:$E$10,2,FALSE)</f>
        <v/>
      </c>
      <c r="J1105" s="24">
        <f>VLOOKUP(D1105,Lookups!$A$5:$E$10,3,FALSE)</f>
        <v/>
      </c>
      <c r="K1105" s="25">
        <f>VLOOKUP(D1105,Lookups!$A$5:$E$10,4,FALSE)</f>
        <v/>
      </c>
      <c r="L1105" s="25">
        <f>E1105*K1105*(1-F1105)</f>
        <v/>
      </c>
      <c r="M1105" s="25">
        <f>L1105*VLOOKUP(D1105,Lookups!$A$5:$E$10,5,FALSE)</f>
        <v/>
      </c>
    </row>
    <row r="1106">
      <c r="A1106" s="21" t="inlineStr">
        <is>
          <t>INV-11128</t>
        </is>
      </c>
      <c r="B1106" s="22" t="n">
        <v>45993</v>
      </c>
      <c r="C1106" s="21" t="inlineStr">
        <is>
          <t>R01</t>
        </is>
      </c>
      <c r="D1106" s="21" t="inlineStr">
        <is>
          <t>P400</t>
        </is>
      </c>
      <c r="E1106" s="21" t="n">
        <v>15</v>
      </c>
      <c r="F1106" s="23" t="n">
        <v>0</v>
      </c>
      <c r="G1106" s="24">
        <f>TEXT(B1106,"mmm")</f>
        <v/>
      </c>
      <c r="H1106" s="24">
        <f>HLOOKUP(C1106,Lookups!$H$4:$K$5,2,FALSE)</f>
        <v/>
      </c>
      <c r="I1106" s="24">
        <f>VLOOKUP(D1106,Lookups!$A$5:$E$10,2,FALSE)</f>
        <v/>
      </c>
      <c r="J1106" s="24">
        <f>VLOOKUP(D1106,Lookups!$A$5:$E$10,3,FALSE)</f>
        <v/>
      </c>
      <c r="K1106" s="25">
        <f>VLOOKUP(D1106,Lookups!$A$5:$E$10,4,FALSE)</f>
        <v/>
      </c>
      <c r="L1106" s="25">
        <f>E1106*K1106*(1-F1106)</f>
        <v/>
      </c>
      <c r="M1106" s="25">
        <f>L1106*VLOOKUP(D1106,Lookups!$A$5:$E$10,5,FALSE)</f>
        <v/>
      </c>
    </row>
    <row r="1107">
      <c r="A1107" s="21" t="inlineStr">
        <is>
          <t>INV-11195</t>
        </is>
      </c>
      <c r="B1107" s="22" t="n">
        <v>45993</v>
      </c>
      <c r="C1107" s="21" t="inlineStr">
        <is>
          <t>R02</t>
        </is>
      </c>
      <c r="D1107" s="21" t="inlineStr">
        <is>
          <t>P500</t>
        </is>
      </c>
      <c r="E1107" s="21" t="n">
        <v>11</v>
      </c>
      <c r="F1107" s="23" t="n">
        <v>0</v>
      </c>
      <c r="G1107" s="24">
        <f>TEXT(B1107,"mmm")</f>
        <v/>
      </c>
      <c r="H1107" s="24">
        <f>HLOOKUP(C1107,Lookups!$H$4:$K$5,2,FALSE)</f>
        <v/>
      </c>
      <c r="I1107" s="24">
        <f>VLOOKUP(D1107,Lookups!$A$5:$E$10,2,FALSE)</f>
        <v/>
      </c>
      <c r="J1107" s="24">
        <f>VLOOKUP(D1107,Lookups!$A$5:$E$10,3,FALSE)</f>
        <v/>
      </c>
      <c r="K1107" s="25">
        <f>VLOOKUP(D1107,Lookups!$A$5:$E$10,4,FALSE)</f>
        <v/>
      </c>
      <c r="L1107" s="25">
        <f>E1107*K1107*(1-F1107)</f>
        <v/>
      </c>
      <c r="M1107" s="25">
        <f>L1107*VLOOKUP(D1107,Lookups!$A$5:$E$10,5,FALSE)</f>
        <v/>
      </c>
    </row>
    <row r="1108">
      <c r="A1108" s="21" t="inlineStr">
        <is>
          <t>INV-10578</t>
        </is>
      </c>
      <c r="B1108" s="22" t="n">
        <v>45994</v>
      </c>
      <c r="C1108" s="21" t="inlineStr">
        <is>
          <t>R03</t>
        </is>
      </c>
      <c r="D1108" s="21" t="inlineStr">
        <is>
          <t>P600</t>
        </is>
      </c>
      <c r="E1108" s="21" t="n">
        <v>6</v>
      </c>
      <c r="F1108" s="23" t="n">
        <v>0</v>
      </c>
      <c r="G1108" s="24">
        <f>TEXT(B1108,"mmm")</f>
        <v/>
      </c>
      <c r="H1108" s="24">
        <f>HLOOKUP(C1108,Lookups!$H$4:$K$5,2,FALSE)</f>
        <v/>
      </c>
      <c r="I1108" s="24">
        <f>VLOOKUP(D1108,Lookups!$A$5:$E$10,2,FALSE)</f>
        <v/>
      </c>
      <c r="J1108" s="24">
        <f>VLOOKUP(D1108,Lookups!$A$5:$E$10,3,FALSE)</f>
        <v/>
      </c>
      <c r="K1108" s="25">
        <f>VLOOKUP(D1108,Lookups!$A$5:$E$10,4,FALSE)</f>
        <v/>
      </c>
      <c r="L1108" s="25">
        <f>E1108*K1108*(1-F1108)</f>
        <v/>
      </c>
      <c r="M1108" s="25">
        <f>L1108*VLOOKUP(D1108,Lookups!$A$5:$E$10,5,FALSE)</f>
        <v/>
      </c>
    </row>
    <row r="1109">
      <c r="A1109" s="21" t="inlineStr">
        <is>
          <t>INV-10722</t>
        </is>
      </c>
      <c r="B1109" s="22" t="n">
        <v>45994</v>
      </c>
      <c r="C1109" s="21" t="inlineStr">
        <is>
          <t>R03</t>
        </is>
      </c>
      <c r="D1109" s="21" t="inlineStr">
        <is>
          <t>P200</t>
        </is>
      </c>
      <c r="E1109" s="21" t="n">
        <v>18</v>
      </c>
      <c r="F1109" s="23" t="n">
        <v>0</v>
      </c>
      <c r="G1109" s="24">
        <f>TEXT(B1109,"mmm")</f>
        <v/>
      </c>
      <c r="H1109" s="24">
        <f>HLOOKUP(C1109,Lookups!$H$4:$K$5,2,FALSE)</f>
        <v/>
      </c>
      <c r="I1109" s="24">
        <f>VLOOKUP(D1109,Lookups!$A$5:$E$10,2,FALSE)</f>
        <v/>
      </c>
      <c r="J1109" s="24">
        <f>VLOOKUP(D1109,Lookups!$A$5:$E$10,3,FALSE)</f>
        <v/>
      </c>
      <c r="K1109" s="25">
        <f>VLOOKUP(D1109,Lookups!$A$5:$E$10,4,FALSE)</f>
        <v/>
      </c>
      <c r="L1109" s="25">
        <f>E1109*K1109*(1-F1109)</f>
        <v/>
      </c>
      <c r="M1109" s="25">
        <f>L1109*VLOOKUP(D1109,Lookups!$A$5:$E$10,5,FALSE)</f>
        <v/>
      </c>
    </row>
    <row r="1110">
      <c r="A1110" s="21" t="inlineStr">
        <is>
          <t>INV-11126</t>
        </is>
      </c>
      <c r="B1110" s="22" t="n">
        <v>45994</v>
      </c>
      <c r="C1110" s="21" t="inlineStr">
        <is>
          <t>R03</t>
        </is>
      </c>
      <c r="D1110" s="21" t="inlineStr">
        <is>
          <t>P400</t>
        </is>
      </c>
      <c r="E1110" s="21" t="n">
        <v>2</v>
      </c>
      <c r="F1110" s="23" t="n">
        <v>0.05</v>
      </c>
      <c r="G1110" s="24">
        <f>TEXT(B1110,"mmm")</f>
        <v/>
      </c>
      <c r="H1110" s="24">
        <f>HLOOKUP(C1110,Lookups!$H$4:$K$5,2,FALSE)</f>
        <v/>
      </c>
      <c r="I1110" s="24">
        <f>VLOOKUP(D1110,Lookups!$A$5:$E$10,2,FALSE)</f>
        <v/>
      </c>
      <c r="J1110" s="24">
        <f>VLOOKUP(D1110,Lookups!$A$5:$E$10,3,FALSE)</f>
        <v/>
      </c>
      <c r="K1110" s="25">
        <f>VLOOKUP(D1110,Lookups!$A$5:$E$10,4,FALSE)</f>
        <v/>
      </c>
      <c r="L1110" s="25">
        <f>E1110*K1110*(1-F1110)</f>
        <v/>
      </c>
      <c r="M1110" s="25">
        <f>L1110*VLOOKUP(D1110,Lookups!$A$5:$E$10,5,FALSE)</f>
        <v/>
      </c>
    </row>
    <row r="1111">
      <c r="A1111" s="21" t="inlineStr">
        <is>
          <t>INV-11138</t>
        </is>
      </c>
      <c r="B1111" s="22" t="n">
        <v>45994</v>
      </c>
      <c r="C1111" s="21" t="inlineStr">
        <is>
          <t>R04</t>
        </is>
      </c>
      <c r="D1111" s="21" t="inlineStr">
        <is>
          <t>P200</t>
        </is>
      </c>
      <c r="E1111" s="21" t="n">
        <v>12</v>
      </c>
      <c r="F1111" s="23" t="n">
        <v>0.05</v>
      </c>
      <c r="G1111" s="24">
        <f>TEXT(B1111,"mmm")</f>
        <v/>
      </c>
      <c r="H1111" s="24">
        <f>HLOOKUP(C1111,Lookups!$H$4:$K$5,2,FALSE)</f>
        <v/>
      </c>
      <c r="I1111" s="24">
        <f>VLOOKUP(D1111,Lookups!$A$5:$E$10,2,FALSE)</f>
        <v/>
      </c>
      <c r="J1111" s="24">
        <f>VLOOKUP(D1111,Lookups!$A$5:$E$10,3,FALSE)</f>
        <v/>
      </c>
      <c r="K1111" s="25">
        <f>VLOOKUP(D1111,Lookups!$A$5:$E$10,4,FALSE)</f>
        <v/>
      </c>
      <c r="L1111" s="25">
        <f>E1111*K1111*(1-F1111)</f>
        <v/>
      </c>
      <c r="M1111" s="25">
        <f>L1111*VLOOKUP(D1111,Lookups!$A$5:$E$10,5,FALSE)</f>
        <v/>
      </c>
    </row>
    <row r="1112">
      <c r="A1112" s="21" t="inlineStr">
        <is>
          <t>INV-10262</t>
        </is>
      </c>
      <c r="B1112" s="22" t="n">
        <v>45995</v>
      </c>
      <c r="C1112" s="21" t="inlineStr">
        <is>
          <t>R03</t>
        </is>
      </c>
      <c r="D1112" s="21" t="inlineStr">
        <is>
          <t>P500</t>
        </is>
      </c>
      <c r="E1112" s="21" t="n">
        <v>15</v>
      </c>
      <c r="F1112" s="23" t="n">
        <v>0</v>
      </c>
      <c r="G1112" s="24">
        <f>TEXT(B1112,"mmm")</f>
        <v/>
      </c>
      <c r="H1112" s="24">
        <f>HLOOKUP(C1112,Lookups!$H$4:$K$5,2,FALSE)</f>
        <v/>
      </c>
      <c r="I1112" s="24">
        <f>VLOOKUP(D1112,Lookups!$A$5:$E$10,2,FALSE)</f>
        <v/>
      </c>
      <c r="J1112" s="24">
        <f>VLOOKUP(D1112,Lookups!$A$5:$E$10,3,FALSE)</f>
        <v/>
      </c>
      <c r="K1112" s="25">
        <f>VLOOKUP(D1112,Lookups!$A$5:$E$10,4,FALSE)</f>
        <v/>
      </c>
      <c r="L1112" s="25">
        <f>E1112*K1112*(1-F1112)</f>
        <v/>
      </c>
      <c r="M1112" s="25">
        <f>L1112*VLOOKUP(D1112,Lookups!$A$5:$E$10,5,FALSE)</f>
        <v/>
      </c>
    </row>
    <row r="1113">
      <c r="A1113" s="21" t="inlineStr">
        <is>
          <t>INV-10574</t>
        </is>
      </c>
      <c r="B1113" s="22" t="n">
        <v>45995</v>
      </c>
      <c r="C1113" s="21" t="inlineStr">
        <is>
          <t>R04</t>
        </is>
      </c>
      <c r="D1113" s="21" t="inlineStr">
        <is>
          <t>P200</t>
        </is>
      </c>
      <c r="E1113" s="21" t="n">
        <v>13</v>
      </c>
      <c r="F1113" s="23" t="n">
        <v>0</v>
      </c>
      <c r="G1113" s="24">
        <f>TEXT(B1113,"mmm")</f>
        <v/>
      </c>
      <c r="H1113" s="24">
        <f>HLOOKUP(C1113,Lookups!$H$4:$K$5,2,FALSE)</f>
        <v/>
      </c>
      <c r="I1113" s="24">
        <f>VLOOKUP(D1113,Lookups!$A$5:$E$10,2,FALSE)</f>
        <v/>
      </c>
      <c r="J1113" s="24">
        <f>VLOOKUP(D1113,Lookups!$A$5:$E$10,3,FALSE)</f>
        <v/>
      </c>
      <c r="K1113" s="25">
        <f>VLOOKUP(D1113,Lookups!$A$5:$E$10,4,FALSE)</f>
        <v/>
      </c>
      <c r="L1113" s="25">
        <f>E1113*K1113*(1-F1113)</f>
        <v/>
      </c>
      <c r="M1113" s="25">
        <f>L1113*VLOOKUP(D1113,Lookups!$A$5:$E$10,5,FALSE)</f>
        <v/>
      </c>
    </row>
    <row r="1114">
      <c r="A1114" s="21" t="inlineStr">
        <is>
          <t>INV-10653</t>
        </is>
      </c>
      <c r="B1114" s="22" t="n">
        <v>45995</v>
      </c>
      <c r="C1114" s="21" t="inlineStr">
        <is>
          <t>R02</t>
        </is>
      </c>
      <c r="D1114" s="21" t="inlineStr">
        <is>
          <t>P300</t>
        </is>
      </c>
      <c r="E1114" s="21" t="n">
        <v>17</v>
      </c>
      <c r="F1114" s="23" t="n">
        <v>0</v>
      </c>
      <c r="G1114" s="24">
        <f>TEXT(B1114,"mmm")</f>
        <v/>
      </c>
      <c r="H1114" s="24">
        <f>HLOOKUP(C1114,Lookups!$H$4:$K$5,2,FALSE)</f>
        <v/>
      </c>
      <c r="I1114" s="24">
        <f>VLOOKUP(D1114,Lookups!$A$5:$E$10,2,FALSE)</f>
        <v/>
      </c>
      <c r="J1114" s="24">
        <f>VLOOKUP(D1114,Lookups!$A$5:$E$10,3,FALSE)</f>
        <v/>
      </c>
      <c r="K1114" s="25">
        <f>VLOOKUP(D1114,Lookups!$A$5:$E$10,4,FALSE)</f>
        <v/>
      </c>
      <c r="L1114" s="25">
        <f>E1114*K1114*(1-F1114)</f>
        <v/>
      </c>
      <c r="M1114" s="25">
        <f>L1114*VLOOKUP(D1114,Lookups!$A$5:$E$10,5,FALSE)</f>
        <v/>
      </c>
    </row>
    <row r="1115">
      <c r="A1115" s="21" t="inlineStr">
        <is>
          <t>INV-11005</t>
        </is>
      </c>
      <c r="B1115" s="22" t="n">
        <v>45995</v>
      </c>
      <c r="C1115" s="21" t="inlineStr">
        <is>
          <t>R02</t>
        </is>
      </c>
      <c r="D1115" s="21" t="inlineStr">
        <is>
          <t>P100</t>
        </is>
      </c>
      <c r="E1115" s="21" t="n">
        <v>15</v>
      </c>
      <c r="F1115" s="23" t="n">
        <v>0</v>
      </c>
      <c r="G1115" s="24">
        <f>TEXT(B1115,"mmm")</f>
        <v/>
      </c>
      <c r="H1115" s="24">
        <f>HLOOKUP(C1115,Lookups!$H$4:$K$5,2,FALSE)</f>
        <v/>
      </c>
      <c r="I1115" s="24">
        <f>VLOOKUP(D1115,Lookups!$A$5:$E$10,2,FALSE)</f>
        <v/>
      </c>
      <c r="J1115" s="24">
        <f>VLOOKUP(D1115,Lookups!$A$5:$E$10,3,FALSE)</f>
        <v/>
      </c>
      <c r="K1115" s="25">
        <f>VLOOKUP(D1115,Lookups!$A$5:$E$10,4,FALSE)</f>
        <v/>
      </c>
      <c r="L1115" s="25">
        <f>E1115*K1115*(1-F1115)</f>
        <v/>
      </c>
      <c r="M1115" s="25">
        <f>L1115*VLOOKUP(D1115,Lookups!$A$5:$E$10,5,FALSE)</f>
        <v/>
      </c>
    </row>
    <row r="1116">
      <c r="A1116" s="21" t="inlineStr">
        <is>
          <t>INV-10139</t>
        </is>
      </c>
      <c r="B1116" s="22" t="n">
        <v>45996</v>
      </c>
      <c r="C1116" s="21" t="inlineStr">
        <is>
          <t>R01</t>
        </is>
      </c>
      <c r="D1116" s="21" t="inlineStr">
        <is>
          <t>P300</t>
        </is>
      </c>
      <c r="E1116" s="21" t="n">
        <v>17</v>
      </c>
      <c r="F1116" s="23" t="n">
        <v>0.05</v>
      </c>
      <c r="G1116" s="24">
        <f>TEXT(B1116,"mmm")</f>
        <v/>
      </c>
      <c r="H1116" s="24">
        <f>HLOOKUP(C1116,Lookups!$H$4:$K$5,2,FALSE)</f>
        <v/>
      </c>
      <c r="I1116" s="24">
        <f>VLOOKUP(D1116,Lookups!$A$5:$E$10,2,FALSE)</f>
        <v/>
      </c>
      <c r="J1116" s="24">
        <f>VLOOKUP(D1116,Lookups!$A$5:$E$10,3,FALSE)</f>
        <v/>
      </c>
      <c r="K1116" s="25">
        <f>VLOOKUP(D1116,Lookups!$A$5:$E$10,4,FALSE)</f>
        <v/>
      </c>
      <c r="L1116" s="25">
        <f>E1116*K1116*(1-F1116)</f>
        <v/>
      </c>
      <c r="M1116" s="25">
        <f>L1116*VLOOKUP(D1116,Lookups!$A$5:$E$10,5,FALSE)</f>
        <v/>
      </c>
    </row>
    <row r="1117">
      <c r="A1117" s="21" t="inlineStr">
        <is>
          <t>INV-10755</t>
        </is>
      </c>
      <c r="B1117" s="22" t="n">
        <v>45996</v>
      </c>
      <c r="C1117" s="21" t="inlineStr">
        <is>
          <t>R03</t>
        </is>
      </c>
      <c r="D1117" s="21" t="inlineStr">
        <is>
          <t>P300</t>
        </is>
      </c>
      <c r="E1117" s="21" t="n">
        <v>8</v>
      </c>
      <c r="F1117" s="23" t="n">
        <v>0</v>
      </c>
      <c r="G1117" s="24">
        <f>TEXT(B1117,"mmm")</f>
        <v/>
      </c>
      <c r="H1117" s="24">
        <f>HLOOKUP(C1117,Lookups!$H$4:$K$5,2,FALSE)</f>
        <v/>
      </c>
      <c r="I1117" s="24">
        <f>VLOOKUP(D1117,Lookups!$A$5:$E$10,2,FALSE)</f>
        <v/>
      </c>
      <c r="J1117" s="24">
        <f>VLOOKUP(D1117,Lookups!$A$5:$E$10,3,FALSE)</f>
        <v/>
      </c>
      <c r="K1117" s="25">
        <f>VLOOKUP(D1117,Lookups!$A$5:$E$10,4,FALSE)</f>
        <v/>
      </c>
      <c r="L1117" s="25">
        <f>E1117*K1117*(1-F1117)</f>
        <v/>
      </c>
      <c r="M1117" s="25">
        <f>L1117*VLOOKUP(D1117,Lookups!$A$5:$E$10,5,FALSE)</f>
        <v/>
      </c>
    </row>
    <row r="1118">
      <c r="A1118" s="21" t="inlineStr">
        <is>
          <t>INV-10758</t>
        </is>
      </c>
      <c r="B1118" s="22" t="n">
        <v>45996</v>
      </c>
      <c r="C1118" s="21" t="inlineStr">
        <is>
          <t>R04</t>
        </is>
      </c>
      <c r="D1118" s="21" t="inlineStr">
        <is>
          <t>P600</t>
        </is>
      </c>
      <c r="E1118" s="21" t="n">
        <v>7</v>
      </c>
      <c r="F1118" s="23" t="n">
        <v>0</v>
      </c>
      <c r="G1118" s="24">
        <f>TEXT(B1118,"mmm")</f>
        <v/>
      </c>
      <c r="H1118" s="24">
        <f>HLOOKUP(C1118,Lookups!$H$4:$K$5,2,FALSE)</f>
        <v/>
      </c>
      <c r="I1118" s="24">
        <f>VLOOKUP(D1118,Lookups!$A$5:$E$10,2,FALSE)</f>
        <v/>
      </c>
      <c r="J1118" s="24">
        <f>VLOOKUP(D1118,Lookups!$A$5:$E$10,3,FALSE)</f>
        <v/>
      </c>
      <c r="K1118" s="25">
        <f>VLOOKUP(D1118,Lookups!$A$5:$E$10,4,FALSE)</f>
        <v/>
      </c>
      <c r="L1118" s="25">
        <f>E1118*K1118*(1-F1118)</f>
        <v/>
      </c>
      <c r="M1118" s="25">
        <f>L1118*VLOOKUP(D1118,Lookups!$A$5:$E$10,5,FALSE)</f>
        <v/>
      </c>
    </row>
    <row r="1119">
      <c r="A1119" s="21" t="inlineStr">
        <is>
          <t>INV-10810</t>
        </is>
      </c>
      <c r="B1119" s="22" t="n">
        <v>45996</v>
      </c>
      <c r="C1119" s="21" t="inlineStr">
        <is>
          <t>R02</t>
        </is>
      </c>
      <c r="D1119" s="21" t="inlineStr">
        <is>
          <t>P300</t>
        </is>
      </c>
      <c r="E1119" s="21" t="n">
        <v>24</v>
      </c>
      <c r="F1119" s="23" t="n">
        <v>0</v>
      </c>
      <c r="G1119" s="24">
        <f>TEXT(B1119,"mmm")</f>
        <v/>
      </c>
      <c r="H1119" s="24">
        <f>HLOOKUP(C1119,Lookups!$H$4:$K$5,2,FALSE)</f>
        <v/>
      </c>
      <c r="I1119" s="24">
        <f>VLOOKUP(D1119,Lookups!$A$5:$E$10,2,FALSE)</f>
        <v/>
      </c>
      <c r="J1119" s="24">
        <f>VLOOKUP(D1119,Lookups!$A$5:$E$10,3,FALSE)</f>
        <v/>
      </c>
      <c r="K1119" s="25">
        <f>VLOOKUP(D1119,Lookups!$A$5:$E$10,4,FALSE)</f>
        <v/>
      </c>
      <c r="L1119" s="25">
        <f>E1119*K1119*(1-F1119)</f>
        <v/>
      </c>
      <c r="M1119" s="25">
        <f>L1119*VLOOKUP(D1119,Lookups!$A$5:$E$10,5,FALSE)</f>
        <v/>
      </c>
    </row>
    <row r="1120">
      <c r="A1120" s="21" t="inlineStr">
        <is>
          <t>INV-10840</t>
        </is>
      </c>
      <c r="B1120" s="22" t="n">
        <v>45996</v>
      </c>
      <c r="C1120" s="21" t="inlineStr">
        <is>
          <t>R01</t>
        </is>
      </c>
      <c r="D1120" s="21" t="inlineStr">
        <is>
          <t>P100</t>
        </is>
      </c>
      <c r="E1120" s="21" t="n">
        <v>2</v>
      </c>
      <c r="F1120" s="23" t="n">
        <v>0</v>
      </c>
      <c r="G1120" s="24">
        <f>TEXT(B1120,"mmm")</f>
        <v/>
      </c>
      <c r="H1120" s="24">
        <f>HLOOKUP(C1120,Lookups!$H$4:$K$5,2,FALSE)</f>
        <v/>
      </c>
      <c r="I1120" s="24">
        <f>VLOOKUP(D1120,Lookups!$A$5:$E$10,2,FALSE)</f>
        <v/>
      </c>
      <c r="J1120" s="24">
        <f>VLOOKUP(D1120,Lookups!$A$5:$E$10,3,FALSE)</f>
        <v/>
      </c>
      <c r="K1120" s="25">
        <f>VLOOKUP(D1120,Lookups!$A$5:$E$10,4,FALSE)</f>
        <v/>
      </c>
      <c r="L1120" s="25">
        <f>E1120*K1120*(1-F1120)</f>
        <v/>
      </c>
      <c r="M1120" s="25">
        <f>L1120*VLOOKUP(D1120,Lookups!$A$5:$E$10,5,FALSE)</f>
        <v/>
      </c>
    </row>
    <row r="1121">
      <c r="A1121" s="21" t="inlineStr">
        <is>
          <t>INV-11179</t>
        </is>
      </c>
      <c r="B1121" s="22" t="n">
        <v>45996</v>
      </c>
      <c r="C1121" s="21" t="inlineStr">
        <is>
          <t>R03</t>
        </is>
      </c>
      <c r="D1121" s="21" t="inlineStr">
        <is>
          <t>P300</t>
        </is>
      </c>
      <c r="E1121" s="21" t="n">
        <v>4</v>
      </c>
      <c r="F1121" s="23" t="n">
        <v>0</v>
      </c>
      <c r="G1121" s="24">
        <f>TEXT(B1121,"mmm")</f>
        <v/>
      </c>
      <c r="H1121" s="24">
        <f>HLOOKUP(C1121,Lookups!$H$4:$K$5,2,FALSE)</f>
        <v/>
      </c>
      <c r="I1121" s="24">
        <f>VLOOKUP(D1121,Lookups!$A$5:$E$10,2,FALSE)</f>
        <v/>
      </c>
      <c r="J1121" s="24">
        <f>VLOOKUP(D1121,Lookups!$A$5:$E$10,3,FALSE)</f>
        <v/>
      </c>
      <c r="K1121" s="25">
        <f>VLOOKUP(D1121,Lookups!$A$5:$E$10,4,FALSE)</f>
        <v/>
      </c>
      <c r="L1121" s="25">
        <f>E1121*K1121*(1-F1121)</f>
        <v/>
      </c>
      <c r="M1121" s="25">
        <f>L1121*VLOOKUP(D1121,Lookups!$A$5:$E$10,5,FALSE)</f>
        <v/>
      </c>
    </row>
    <row r="1122">
      <c r="A1122" s="21" t="inlineStr">
        <is>
          <t>INV-10070</t>
        </is>
      </c>
      <c r="B1122" s="22" t="n">
        <v>45997</v>
      </c>
      <c r="C1122" s="21" t="inlineStr">
        <is>
          <t>R02</t>
        </is>
      </c>
      <c r="D1122" s="21" t="inlineStr">
        <is>
          <t>P100</t>
        </is>
      </c>
      <c r="E1122" s="21" t="n">
        <v>9</v>
      </c>
      <c r="F1122" s="23" t="n">
        <v>0</v>
      </c>
      <c r="G1122" s="24">
        <f>TEXT(B1122,"mmm")</f>
        <v/>
      </c>
      <c r="H1122" s="24">
        <f>HLOOKUP(C1122,Lookups!$H$4:$K$5,2,FALSE)</f>
        <v/>
      </c>
      <c r="I1122" s="24">
        <f>VLOOKUP(D1122,Lookups!$A$5:$E$10,2,FALSE)</f>
        <v/>
      </c>
      <c r="J1122" s="24">
        <f>VLOOKUP(D1122,Lookups!$A$5:$E$10,3,FALSE)</f>
        <v/>
      </c>
      <c r="K1122" s="25">
        <f>VLOOKUP(D1122,Lookups!$A$5:$E$10,4,FALSE)</f>
        <v/>
      </c>
      <c r="L1122" s="25">
        <f>E1122*K1122*(1-F1122)</f>
        <v/>
      </c>
      <c r="M1122" s="25">
        <f>L1122*VLOOKUP(D1122,Lookups!$A$5:$E$10,5,FALSE)</f>
        <v/>
      </c>
    </row>
    <row r="1123">
      <c r="A1123" s="21" t="inlineStr">
        <is>
          <t>INV-10252</t>
        </is>
      </c>
      <c r="B1123" s="22" t="n">
        <v>45997</v>
      </c>
      <c r="C1123" s="21" t="inlineStr">
        <is>
          <t>R01</t>
        </is>
      </c>
      <c r="D1123" s="21" t="inlineStr">
        <is>
          <t>P200</t>
        </is>
      </c>
      <c r="E1123" s="21" t="n">
        <v>2</v>
      </c>
      <c r="F1123" s="23" t="n">
        <v>0.05</v>
      </c>
      <c r="G1123" s="24">
        <f>TEXT(B1123,"mmm")</f>
        <v/>
      </c>
      <c r="H1123" s="24">
        <f>HLOOKUP(C1123,Lookups!$H$4:$K$5,2,FALSE)</f>
        <v/>
      </c>
      <c r="I1123" s="24">
        <f>VLOOKUP(D1123,Lookups!$A$5:$E$10,2,FALSE)</f>
        <v/>
      </c>
      <c r="J1123" s="24">
        <f>VLOOKUP(D1123,Lookups!$A$5:$E$10,3,FALSE)</f>
        <v/>
      </c>
      <c r="K1123" s="25">
        <f>VLOOKUP(D1123,Lookups!$A$5:$E$10,4,FALSE)</f>
        <v/>
      </c>
      <c r="L1123" s="25">
        <f>E1123*K1123*(1-F1123)</f>
        <v/>
      </c>
      <c r="M1123" s="25">
        <f>L1123*VLOOKUP(D1123,Lookups!$A$5:$E$10,5,FALSE)</f>
        <v/>
      </c>
    </row>
    <row r="1124">
      <c r="A1124" s="21" t="inlineStr">
        <is>
          <t>INV-11073</t>
        </is>
      </c>
      <c r="B1124" s="22" t="n">
        <v>45997</v>
      </c>
      <c r="C1124" s="21" t="inlineStr">
        <is>
          <t>R03</t>
        </is>
      </c>
      <c r="D1124" s="21" t="inlineStr">
        <is>
          <t>P300</t>
        </is>
      </c>
      <c r="E1124" s="21" t="n">
        <v>16</v>
      </c>
      <c r="F1124" s="23" t="n">
        <v>0.1</v>
      </c>
      <c r="G1124" s="24">
        <f>TEXT(B1124,"mmm")</f>
        <v/>
      </c>
      <c r="H1124" s="24">
        <f>HLOOKUP(C1124,Lookups!$H$4:$K$5,2,FALSE)</f>
        <v/>
      </c>
      <c r="I1124" s="24">
        <f>VLOOKUP(D1124,Lookups!$A$5:$E$10,2,FALSE)</f>
        <v/>
      </c>
      <c r="J1124" s="24">
        <f>VLOOKUP(D1124,Lookups!$A$5:$E$10,3,FALSE)</f>
        <v/>
      </c>
      <c r="K1124" s="25">
        <f>VLOOKUP(D1124,Lookups!$A$5:$E$10,4,FALSE)</f>
        <v/>
      </c>
      <c r="L1124" s="25">
        <f>E1124*K1124*(1-F1124)</f>
        <v/>
      </c>
      <c r="M1124" s="25">
        <f>L1124*VLOOKUP(D1124,Lookups!$A$5:$E$10,5,FALSE)</f>
        <v/>
      </c>
    </row>
    <row r="1125">
      <c r="A1125" s="21" t="inlineStr">
        <is>
          <t>INV-10097</t>
        </is>
      </c>
      <c r="B1125" s="22" t="n">
        <v>45998</v>
      </c>
      <c r="C1125" s="21" t="inlineStr">
        <is>
          <t>R02</t>
        </is>
      </c>
      <c r="D1125" s="21" t="inlineStr">
        <is>
          <t>P400</t>
        </is>
      </c>
      <c r="E1125" s="21" t="n">
        <v>20</v>
      </c>
      <c r="F1125" s="23" t="n">
        <v>0.05</v>
      </c>
      <c r="G1125" s="24">
        <f>TEXT(B1125,"mmm")</f>
        <v/>
      </c>
      <c r="H1125" s="24">
        <f>HLOOKUP(C1125,Lookups!$H$4:$K$5,2,FALSE)</f>
        <v/>
      </c>
      <c r="I1125" s="24">
        <f>VLOOKUP(D1125,Lookups!$A$5:$E$10,2,FALSE)</f>
        <v/>
      </c>
      <c r="J1125" s="24">
        <f>VLOOKUP(D1125,Lookups!$A$5:$E$10,3,FALSE)</f>
        <v/>
      </c>
      <c r="K1125" s="25">
        <f>VLOOKUP(D1125,Lookups!$A$5:$E$10,4,FALSE)</f>
        <v/>
      </c>
      <c r="L1125" s="25">
        <f>E1125*K1125*(1-F1125)</f>
        <v/>
      </c>
      <c r="M1125" s="25">
        <f>L1125*VLOOKUP(D1125,Lookups!$A$5:$E$10,5,FALSE)</f>
        <v/>
      </c>
    </row>
    <row r="1126">
      <c r="A1126" s="21" t="inlineStr">
        <is>
          <t>INV-10221</t>
        </is>
      </c>
      <c r="B1126" s="22" t="n">
        <v>45999</v>
      </c>
      <c r="C1126" s="21" t="inlineStr">
        <is>
          <t>R04</t>
        </is>
      </c>
      <c r="D1126" s="21" t="inlineStr">
        <is>
          <t>P100</t>
        </is>
      </c>
      <c r="E1126" s="21" t="n">
        <v>10</v>
      </c>
      <c r="F1126" s="23" t="n">
        <v>0</v>
      </c>
      <c r="G1126" s="24">
        <f>TEXT(B1126,"mmm")</f>
        <v/>
      </c>
      <c r="H1126" s="24">
        <f>HLOOKUP(C1126,Lookups!$H$4:$K$5,2,FALSE)</f>
        <v/>
      </c>
      <c r="I1126" s="24">
        <f>VLOOKUP(D1126,Lookups!$A$5:$E$10,2,FALSE)</f>
        <v/>
      </c>
      <c r="J1126" s="24">
        <f>VLOOKUP(D1126,Lookups!$A$5:$E$10,3,FALSE)</f>
        <v/>
      </c>
      <c r="K1126" s="25">
        <f>VLOOKUP(D1126,Lookups!$A$5:$E$10,4,FALSE)</f>
        <v/>
      </c>
      <c r="L1126" s="25">
        <f>E1126*K1126*(1-F1126)</f>
        <v/>
      </c>
      <c r="M1126" s="25">
        <f>L1126*VLOOKUP(D1126,Lookups!$A$5:$E$10,5,FALSE)</f>
        <v/>
      </c>
    </row>
    <row r="1127">
      <c r="A1127" s="21" t="inlineStr">
        <is>
          <t>INV-11104</t>
        </is>
      </c>
      <c r="B1127" s="22" t="n">
        <v>45999</v>
      </c>
      <c r="C1127" s="21" t="inlineStr">
        <is>
          <t>R01</t>
        </is>
      </c>
      <c r="D1127" s="21" t="inlineStr">
        <is>
          <t>P200</t>
        </is>
      </c>
      <c r="E1127" s="21" t="n">
        <v>8</v>
      </c>
      <c r="F1127" s="23" t="n">
        <v>0.1</v>
      </c>
      <c r="G1127" s="24">
        <f>TEXT(B1127,"mmm")</f>
        <v/>
      </c>
      <c r="H1127" s="24">
        <f>HLOOKUP(C1127,Lookups!$H$4:$K$5,2,FALSE)</f>
        <v/>
      </c>
      <c r="I1127" s="24">
        <f>VLOOKUP(D1127,Lookups!$A$5:$E$10,2,FALSE)</f>
        <v/>
      </c>
      <c r="J1127" s="24">
        <f>VLOOKUP(D1127,Lookups!$A$5:$E$10,3,FALSE)</f>
        <v/>
      </c>
      <c r="K1127" s="25">
        <f>VLOOKUP(D1127,Lookups!$A$5:$E$10,4,FALSE)</f>
        <v/>
      </c>
      <c r="L1127" s="25">
        <f>E1127*K1127*(1-F1127)</f>
        <v/>
      </c>
      <c r="M1127" s="25">
        <f>L1127*VLOOKUP(D1127,Lookups!$A$5:$E$10,5,FALSE)</f>
        <v/>
      </c>
    </row>
    <row r="1128">
      <c r="A1128" s="21" t="inlineStr">
        <is>
          <t>INV-10449</t>
        </is>
      </c>
      <c r="B1128" s="22" t="n">
        <v>46000</v>
      </c>
      <c r="C1128" s="21" t="inlineStr">
        <is>
          <t>R02</t>
        </is>
      </c>
      <c r="D1128" s="21" t="inlineStr">
        <is>
          <t>P500</t>
        </is>
      </c>
      <c r="E1128" s="21" t="n">
        <v>21</v>
      </c>
      <c r="F1128" s="23" t="n">
        <v>0</v>
      </c>
      <c r="G1128" s="24">
        <f>TEXT(B1128,"mmm")</f>
        <v/>
      </c>
      <c r="H1128" s="24">
        <f>HLOOKUP(C1128,Lookups!$H$4:$K$5,2,FALSE)</f>
        <v/>
      </c>
      <c r="I1128" s="24">
        <f>VLOOKUP(D1128,Lookups!$A$5:$E$10,2,FALSE)</f>
        <v/>
      </c>
      <c r="J1128" s="24">
        <f>VLOOKUP(D1128,Lookups!$A$5:$E$10,3,FALSE)</f>
        <v/>
      </c>
      <c r="K1128" s="25">
        <f>VLOOKUP(D1128,Lookups!$A$5:$E$10,4,FALSE)</f>
        <v/>
      </c>
      <c r="L1128" s="25">
        <f>E1128*K1128*(1-F1128)</f>
        <v/>
      </c>
      <c r="M1128" s="25">
        <f>L1128*VLOOKUP(D1128,Lookups!$A$5:$E$10,5,FALSE)</f>
        <v/>
      </c>
    </row>
    <row r="1129">
      <c r="A1129" s="21" t="inlineStr">
        <is>
          <t>INV-10867</t>
        </is>
      </c>
      <c r="B1129" s="22" t="n">
        <v>46000</v>
      </c>
      <c r="C1129" s="21" t="inlineStr">
        <is>
          <t>R01</t>
        </is>
      </c>
      <c r="D1129" s="21" t="inlineStr">
        <is>
          <t>P300</t>
        </is>
      </c>
      <c r="E1129" s="21" t="n">
        <v>14</v>
      </c>
      <c r="F1129" s="23" t="n">
        <v>0</v>
      </c>
      <c r="G1129" s="24">
        <f>TEXT(B1129,"mmm")</f>
        <v/>
      </c>
      <c r="H1129" s="24">
        <f>HLOOKUP(C1129,Lookups!$H$4:$K$5,2,FALSE)</f>
        <v/>
      </c>
      <c r="I1129" s="24">
        <f>VLOOKUP(D1129,Lookups!$A$5:$E$10,2,FALSE)</f>
        <v/>
      </c>
      <c r="J1129" s="24">
        <f>VLOOKUP(D1129,Lookups!$A$5:$E$10,3,FALSE)</f>
        <v/>
      </c>
      <c r="K1129" s="25">
        <f>VLOOKUP(D1129,Lookups!$A$5:$E$10,4,FALSE)</f>
        <v/>
      </c>
      <c r="L1129" s="25">
        <f>E1129*K1129*(1-F1129)</f>
        <v/>
      </c>
      <c r="M1129" s="25">
        <f>L1129*VLOOKUP(D1129,Lookups!$A$5:$E$10,5,FALSE)</f>
        <v/>
      </c>
    </row>
    <row r="1130">
      <c r="A1130" s="21" t="inlineStr">
        <is>
          <t>INV-10275</t>
        </is>
      </c>
      <c r="B1130" s="22" t="n">
        <v>46001</v>
      </c>
      <c r="C1130" s="21" t="inlineStr">
        <is>
          <t>R04</t>
        </is>
      </c>
      <c r="D1130" s="21" t="inlineStr">
        <is>
          <t>P100</t>
        </is>
      </c>
      <c r="E1130" s="21" t="n">
        <v>12</v>
      </c>
      <c r="F1130" s="23" t="n">
        <v>0.1</v>
      </c>
      <c r="G1130" s="24">
        <f>TEXT(B1130,"mmm")</f>
        <v/>
      </c>
      <c r="H1130" s="24">
        <f>HLOOKUP(C1130,Lookups!$H$4:$K$5,2,FALSE)</f>
        <v/>
      </c>
      <c r="I1130" s="24">
        <f>VLOOKUP(D1130,Lookups!$A$5:$E$10,2,FALSE)</f>
        <v/>
      </c>
      <c r="J1130" s="24">
        <f>VLOOKUP(D1130,Lookups!$A$5:$E$10,3,FALSE)</f>
        <v/>
      </c>
      <c r="K1130" s="25">
        <f>VLOOKUP(D1130,Lookups!$A$5:$E$10,4,FALSE)</f>
        <v/>
      </c>
      <c r="L1130" s="25">
        <f>E1130*K1130*(1-F1130)</f>
        <v/>
      </c>
      <c r="M1130" s="25">
        <f>L1130*VLOOKUP(D1130,Lookups!$A$5:$E$10,5,FALSE)</f>
        <v/>
      </c>
    </row>
    <row r="1131">
      <c r="A1131" s="21" t="inlineStr">
        <is>
          <t>INV-10814</t>
        </is>
      </c>
      <c r="B1131" s="22" t="n">
        <v>46001</v>
      </c>
      <c r="C1131" s="21" t="inlineStr">
        <is>
          <t>R03</t>
        </is>
      </c>
      <c r="D1131" s="21" t="inlineStr">
        <is>
          <t>P300</t>
        </is>
      </c>
      <c r="E1131" s="21" t="n">
        <v>6</v>
      </c>
      <c r="F1131" s="23" t="n">
        <v>0</v>
      </c>
      <c r="G1131" s="24">
        <f>TEXT(B1131,"mmm")</f>
        <v/>
      </c>
      <c r="H1131" s="24">
        <f>HLOOKUP(C1131,Lookups!$H$4:$K$5,2,FALSE)</f>
        <v/>
      </c>
      <c r="I1131" s="24">
        <f>VLOOKUP(D1131,Lookups!$A$5:$E$10,2,FALSE)</f>
        <v/>
      </c>
      <c r="J1131" s="24">
        <f>VLOOKUP(D1131,Lookups!$A$5:$E$10,3,FALSE)</f>
        <v/>
      </c>
      <c r="K1131" s="25">
        <f>VLOOKUP(D1131,Lookups!$A$5:$E$10,4,FALSE)</f>
        <v/>
      </c>
      <c r="L1131" s="25">
        <f>E1131*K1131*(1-F1131)</f>
        <v/>
      </c>
      <c r="M1131" s="25">
        <f>L1131*VLOOKUP(D1131,Lookups!$A$5:$E$10,5,FALSE)</f>
        <v/>
      </c>
    </row>
    <row r="1132">
      <c r="A1132" s="21" t="inlineStr">
        <is>
          <t>INV-10048</t>
        </is>
      </c>
      <c r="B1132" s="22" t="n">
        <v>46002</v>
      </c>
      <c r="C1132" s="21" t="inlineStr">
        <is>
          <t>R01</t>
        </is>
      </c>
      <c r="D1132" s="21" t="inlineStr">
        <is>
          <t>P600</t>
        </is>
      </c>
      <c r="E1132" s="21" t="n">
        <v>2</v>
      </c>
      <c r="F1132" s="23" t="n">
        <v>0.1</v>
      </c>
      <c r="G1132" s="24">
        <f>TEXT(B1132,"mmm")</f>
        <v/>
      </c>
      <c r="H1132" s="24">
        <f>HLOOKUP(C1132,Lookups!$H$4:$K$5,2,FALSE)</f>
        <v/>
      </c>
      <c r="I1132" s="24">
        <f>VLOOKUP(D1132,Lookups!$A$5:$E$10,2,FALSE)</f>
        <v/>
      </c>
      <c r="J1132" s="24">
        <f>VLOOKUP(D1132,Lookups!$A$5:$E$10,3,FALSE)</f>
        <v/>
      </c>
      <c r="K1132" s="25">
        <f>VLOOKUP(D1132,Lookups!$A$5:$E$10,4,FALSE)</f>
        <v/>
      </c>
      <c r="L1132" s="25">
        <f>E1132*K1132*(1-F1132)</f>
        <v/>
      </c>
      <c r="M1132" s="25">
        <f>L1132*VLOOKUP(D1132,Lookups!$A$5:$E$10,5,FALSE)</f>
        <v/>
      </c>
    </row>
    <row r="1133">
      <c r="A1133" s="21" t="inlineStr">
        <is>
          <t>INV-10239</t>
        </is>
      </c>
      <c r="B1133" s="22" t="n">
        <v>46002</v>
      </c>
      <c r="C1133" s="21" t="inlineStr">
        <is>
          <t>R03</t>
        </is>
      </c>
      <c r="D1133" s="21" t="inlineStr">
        <is>
          <t>P600</t>
        </is>
      </c>
      <c r="E1133" s="21" t="n">
        <v>19</v>
      </c>
      <c r="F1133" s="23" t="n">
        <v>0.1</v>
      </c>
      <c r="G1133" s="24">
        <f>TEXT(B1133,"mmm")</f>
        <v/>
      </c>
      <c r="H1133" s="24">
        <f>HLOOKUP(C1133,Lookups!$H$4:$K$5,2,FALSE)</f>
        <v/>
      </c>
      <c r="I1133" s="24">
        <f>VLOOKUP(D1133,Lookups!$A$5:$E$10,2,FALSE)</f>
        <v/>
      </c>
      <c r="J1133" s="24">
        <f>VLOOKUP(D1133,Lookups!$A$5:$E$10,3,FALSE)</f>
        <v/>
      </c>
      <c r="K1133" s="25">
        <f>VLOOKUP(D1133,Lookups!$A$5:$E$10,4,FALSE)</f>
        <v/>
      </c>
      <c r="L1133" s="25">
        <f>E1133*K1133*(1-F1133)</f>
        <v/>
      </c>
      <c r="M1133" s="25">
        <f>L1133*VLOOKUP(D1133,Lookups!$A$5:$E$10,5,FALSE)</f>
        <v/>
      </c>
    </row>
    <row r="1134">
      <c r="A1134" s="21" t="inlineStr">
        <is>
          <t>INV-10480</t>
        </is>
      </c>
      <c r="B1134" s="22" t="n">
        <v>46002</v>
      </c>
      <c r="C1134" s="21" t="inlineStr">
        <is>
          <t>R01</t>
        </is>
      </c>
      <c r="D1134" s="21" t="inlineStr">
        <is>
          <t>P300</t>
        </is>
      </c>
      <c r="E1134" s="21" t="n">
        <v>13</v>
      </c>
      <c r="F1134" s="23" t="n">
        <v>0.05</v>
      </c>
      <c r="G1134" s="24">
        <f>TEXT(B1134,"mmm")</f>
        <v/>
      </c>
      <c r="H1134" s="24">
        <f>HLOOKUP(C1134,Lookups!$H$4:$K$5,2,FALSE)</f>
        <v/>
      </c>
      <c r="I1134" s="24">
        <f>VLOOKUP(D1134,Lookups!$A$5:$E$10,2,FALSE)</f>
        <v/>
      </c>
      <c r="J1134" s="24">
        <f>VLOOKUP(D1134,Lookups!$A$5:$E$10,3,FALSE)</f>
        <v/>
      </c>
      <c r="K1134" s="25">
        <f>VLOOKUP(D1134,Lookups!$A$5:$E$10,4,FALSE)</f>
        <v/>
      </c>
      <c r="L1134" s="25">
        <f>E1134*K1134*(1-F1134)</f>
        <v/>
      </c>
      <c r="M1134" s="25">
        <f>L1134*VLOOKUP(D1134,Lookups!$A$5:$E$10,5,FALSE)</f>
        <v/>
      </c>
    </row>
    <row r="1135">
      <c r="A1135" s="21" t="inlineStr">
        <is>
          <t>INV-10599</t>
        </is>
      </c>
      <c r="B1135" s="22" t="n">
        <v>46002</v>
      </c>
      <c r="C1135" s="21" t="inlineStr">
        <is>
          <t>R03</t>
        </is>
      </c>
      <c r="D1135" s="21" t="inlineStr">
        <is>
          <t>P600</t>
        </is>
      </c>
      <c r="E1135" s="21" t="n">
        <v>20</v>
      </c>
      <c r="F1135" s="23" t="n">
        <v>0</v>
      </c>
      <c r="G1135" s="24">
        <f>TEXT(B1135,"mmm")</f>
        <v/>
      </c>
      <c r="H1135" s="24">
        <f>HLOOKUP(C1135,Lookups!$H$4:$K$5,2,FALSE)</f>
        <v/>
      </c>
      <c r="I1135" s="24">
        <f>VLOOKUP(D1135,Lookups!$A$5:$E$10,2,FALSE)</f>
        <v/>
      </c>
      <c r="J1135" s="24">
        <f>VLOOKUP(D1135,Lookups!$A$5:$E$10,3,FALSE)</f>
        <v/>
      </c>
      <c r="K1135" s="25">
        <f>VLOOKUP(D1135,Lookups!$A$5:$E$10,4,FALSE)</f>
        <v/>
      </c>
      <c r="L1135" s="25">
        <f>E1135*K1135*(1-F1135)</f>
        <v/>
      </c>
      <c r="M1135" s="25">
        <f>L1135*VLOOKUP(D1135,Lookups!$A$5:$E$10,5,FALSE)</f>
        <v/>
      </c>
    </row>
    <row r="1136">
      <c r="A1136" s="21" t="inlineStr">
        <is>
          <t>INV-10600</t>
        </is>
      </c>
      <c r="B1136" s="22" t="n">
        <v>46002</v>
      </c>
      <c r="C1136" s="21" t="inlineStr">
        <is>
          <t>R03</t>
        </is>
      </c>
      <c r="D1136" s="21" t="inlineStr">
        <is>
          <t>P200</t>
        </is>
      </c>
      <c r="E1136" s="21" t="n">
        <v>4</v>
      </c>
      <c r="F1136" s="23" t="n">
        <v>0</v>
      </c>
      <c r="G1136" s="24">
        <f>TEXT(B1136,"mmm")</f>
        <v/>
      </c>
      <c r="H1136" s="24">
        <f>HLOOKUP(C1136,Lookups!$H$4:$K$5,2,FALSE)</f>
        <v/>
      </c>
      <c r="I1136" s="24">
        <f>VLOOKUP(D1136,Lookups!$A$5:$E$10,2,FALSE)</f>
        <v/>
      </c>
      <c r="J1136" s="24">
        <f>VLOOKUP(D1136,Lookups!$A$5:$E$10,3,FALSE)</f>
        <v/>
      </c>
      <c r="K1136" s="25">
        <f>VLOOKUP(D1136,Lookups!$A$5:$E$10,4,FALSE)</f>
        <v/>
      </c>
      <c r="L1136" s="25">
        <f>E1136*K1136*(1-F1136)</f>
        <v/>
      </c>
      <c r="M1136" s="25">
        <f>L1136*VLOOKUP(D1136,Lookups!$A$5:$E$10,5,FALSE)</f>
        <v/>
      </c>
    </row>
    <row r="1137">
      <c r="A1137" s="21" t="inlineStr">
        <is>
          <t>INV-10896</t>
        </is>
      </c>
      <c r="B1137" s="22" t="n">
        <v>46002</v>
      </c>
      <c r="C1137" s="21" t="inlineStr">
        <is>
          <t>R02</t>
        </is>
      </c>
      <c r="D1137" s="21" t="inlineStr">
        <is>
          <t>P200</t>
        </is>
      </c>
      <c r="E1137" s="21" t="n">
        <v>17</v>
      </c>
      <c r="F1137" s="23" t="n">
        <v>0.05</v>
      </c>
      <c r="G1137" s="24">
        <f>TEXT(B1137,"mmm")</f>
        <v/>
      </c>
      <c r="H1137" s="24">
        <f>HLOOKUP(C1137,Lookups!$H$4:$K$5,2,FALSE)</f>
        <v/>
      </c>
      <c r="I1137" s="24">
        <f>VLOOKUP(D1137,Lookups!$A$5:$E$10,2,FALSE)</f>
        <v/>
      </c>
      <c r="J1137" s="24">
        <f>VLOOKUP(D1137,Lookups!$A$5:$E$10,3,FALSE)</f>
        <v/>
      </c>
      <c r="K1137" s="25">
        <f>VLOOKUP(D1137,Lookups!$A$5:$E$10,4,FALSE)</f>
        <v/>
      </c>
      <c r="L1137" s="25">
        <f>E1137*K1137*(1-F1137)</f>
        <v/>
      </c>
      <c r="M1137" s="25">
        <f>L1137*VLOOKUP(D1137,Lookups!$A$5:$E$10,5,FALSE)</f>
        <v/>
      </c>
    </row>
    <row r="1138">
      <c r="A1138" s="21" t="inlineStr">
        <is>
          <t>INV-11157</t>
        </is>
      </c>
      <c r="B1138" s="22" t="n">
        <v>46002</v>
      </c>
      <c r="C1138" s="21" t="inlineStr">
        <is>
          <t>R04</t>
        </is>
      </c>
      <c r="D1138" s="21" t="inlineStr">
        <is>
          <t>P600</t>
        </is>
      </c>
      <c r="E1138" s="21" t="n">
        <v>15</v>
      </c>
      <c r="F1138" s="23" t="n">
        <v>0</v>
      </c>
      <c r="G1138" s="24">
        <f>TEXT(B1138,"mmm")</f>
        <v/>
      </c>
      <c r="H1138" s="24">
        <f>HLOOKUP(C1138,Lookups!$H$4:$K$5,2,FALSE)</f>
        <v/>
      </c>
      <c r="I1138" s="24">
        <f>VLOOKUP(D1138,Lookups!$A$5:$E$10,2,FALSE)</f>
        <v/>
      </c>
      <c r="J1138" s="24">
        <f>VLOOKUP(D1138,Lookups!$A$5:$E$10,3,FALSE)</f>
        <v/>
      </c>
      <c r="K1138" s="25">
        <f>VLOOKUP(D1138,Lookups!$A$5:$E$10,4,FALSE)</f>
        <v/>
      </c>
      <c r="L1138" s="25">
        <f>E1138*K1138*(1-F1138)</f>
        <v/>
      </c>
      <c r="M1138" s="25">
        <f>L1138*VLOOKUP(D1138,Lookups!$A$5:$E$10,5,FALSE)</f>
        <v/>
      </c>
    </row>
    <row r="1139">
      <c r="A1139" s="21" t="inlineStr">
        <is>
          <t>INV-10181</t>
        </is>
      </c>
      <c r="B1139" s="22" t="n">
        <v>46003</v>
      </c>
      <c r="C1139" s="21" t="inlineStr">
        <is>
          <t>R01</t>
        </is>
      </c>
      <c r="D1139" s="21" t="inlineStr">
        <is>
          <t>P500</t>
        </is>
      </c>
      <c r="E1139" s="21" t="n">
        <v>25</v>
      </c>
      <c r="F1139" s="23" t="n">
        <v>0.05</v>
      </c>
      <c r="G1139" s="24">
        <f>TEXT(B1139,"mmm")</f>
        <v/>
      </c>
      <c r="H1139" s="24">
        <f>HLOOKUP(C1139,Lookups!$H$4:$K$5,2,FALSE)</f>
        <v/>
      </c>
      <c r="I1139" s="24">
        <f>VLOOKUP(D1139,Lookups!$A$5:$E$10,2,FALSE)</f>
        <v/>
      </c>
      <c r="J1139" s="24">
        <f>VLOOKUP(D1139,Lookups!$A$5:$E$10,3,FALSE)</f>
        <v/>
      </c>
      <c r="K1139" s="25">
        <f>VLOOKUP(D1139,Lookups!$A$5:$E$10,4,FALSE)</f>
        <v/>
      </c>
      <c r="L1139" s="25">
        <f>E1139*K1139*(1-F1139)</f>
        <v/>
      </c>
      <c r="M1139" s="25">
        <f>L1139*VLOOKUP(D1139,Lookups!$A$5:$E$10,5,FALSE)</f>
        <v/>
      </c>
    </row>
    <row r="1140">
      <c r="A1140" s="21" t="inlineStr">
        <is>
          <t>INV-10287</t>
        </is>
      </c>
      <c r="B1140" s="22" t="n">
        <v>46003</v>
      </c>
      <c r="C1140" s="21" t="inlineStr">
        <is>
          <t>R03</t>
        </is>
      </c>
      <c r="D1140" s="21" t="inlineStr">
        <is>
          <t>P100</t>
        </is>
      </c>
      <c r="E1140" s="21" t="n">
        <v>15</v>
      </c>
      <c r="F1140" s="23" t="n">
        <v>0.1</v>
      </c>
      <c r="G1140" s="24">
        <f>TEXT(B1140,"mmm")</f>
        <v/>
      </c>
      <c r="H1140" s="24">
        <f>HLOOKUP(C1140,Lookups!$H$4:$K$5,2,FALSE)</f>
        <v/>
      </c>
      <c r="I1140" s="24">
        <f>VLOOKUP(D1140,Lookups!$A$5:$E$10,2,FALSE)</f>
        <v/>
      </c>
      <c r="J1140" s="24">
        <f>VLOOKUP(D1140,Lookups!$A$5:$E$10,3,FALSE)</f>
        <v/>
      </c>
      <c r="K1140" s="25">
        <f>VLOOKUP(D1140,Lookups!$A$5:$E$10,4,FALSE)</f>
        <v/>
      </c>
      <c r="L1140" s="25">
        <f>E1140*K1140*(1-F1140)</f>
        <v/>
      </c>
      <c r="M1140" s="25">
        <f>L1140*VLOOKUP(D1140,Lookups!$A$5:$E$10,5,FALSE)</f>
        <v/>
      </c>
    </row>
    <row r="1141">
      <c r="A1141" s="21" t="inlineStr">
        <is>
          <t>INV-11014</t>
        </is>
      </c>
      <c r="B1141" s="22" t="n">
        <v>46003</v>
      </c>
      <c r="C1141" s="21" t="inlineStr">
        <is>
          <t>R03</t>
        </is>
      </c>
      <c r="D1141" s="21" t="inlineStr">
        <is>
          <t>P100</t>
        </is>
      </c>
      <c r="E1141" s="21" t="n">
        <v>8</v>
      </c>
      <c r="F1141" s="23" t="n">
        <v>0</v>
      </c>
      <c r="G1141" s="24">
        <f>TEXT(B1141,"mmm")</f>
        <v/>
      </c>
      <c r="H1141" s="24">
        <f>HLOOKUP(C1141,Lookups!$H$4:$K$5,2,FALSE)</f>
        <v/>
      </c>
      <c r="I1141" s="24">
        <f>VLOOKUP(D1141,Lookups!$A$5:$E$10,2,FALSE)</f>
        <v/>
      </c>
      <c r="J1141" s="24">
        <f>VLOOKUP(D1141,Lookups!$A$5:$E$10,3,FALSE)</f>
        <v/>
      </c>
      <c r="K1141" s="25">
        <f>VLOOKUP(D1141,Lookups!$A$5:$E$10,4,FALSE)</f>
        <v/>
      </c>
      <c r="L1141" s="25">
        <f>E1141*K1141*(1-F1141)</f>
        <v/>
      </c>
      <c r="M1141" s="25">
        <f>L1141*VLOOKUP(D1141,Lookups!$A$5:$E$10,5,FALSE)</f>
        <v/>
      </c>
    </row>
    <row r="1142">
      <c r="A1142" s="21" t="inlineStr">
        <is>
          <t>INV-10002</t>
        </is>
      </c>
      <c r="B1142" s="22" t="n">
        <v>46004</v>
      </c>
      <c r="C1142" s="21" t="inlineStr">
        <is>
          <t>R01</t>
        </is>
      </c>
      <c r="D1142" s="21" t="inlineStr">
        <is>
          <t>P600</t>
        </is>
      </c>
      <c r="E1142" s="21" t="n">
        <v>19</v>
      </c>
      <c r="F1142" s="23" t="n">
        <v>0.1</v>
      </c>
      <c r="G1142" s="24">
        <f>TEXT(B1142,"mmm")</f>
        <v/>
      </c>
      <c r="H1142" s="24">
        <f>HLOOKUP(C1142,Lookups!$H$4:$K$5,2,FALSE)</f>
        <v/>
      </c>
      <c r="I1142" s="24">
        <f>VLOOKUP(D1142,Lookups!$A$5:$E$10,2,FALSE)</f>
        <v/>
      </c>
      <c r="J1142" s="24">
        <f>VLOOKUP(D1142,Lookups!$A$5:$E$10,3,FALSE)</f>
        <v/>
      </c>
      <c r="K1142" s="25">
        <f>VLOOKUP(D1142,Lookups!$A$5:$E$10,4,FALSE)</f>
        <v/>
      </c>
      <c r="L1142" s="25">
        <f>E1142*K1142*(1-F1142)</f>
        <v/>
      </c>
      <c r="M1142" s="25">
        <f>L1142*VLOOKUP(D1142,Lookups!$A$5:$E$10,5,FALSE)</f>
        <v/>
      </c>
    </row>
    <row r="1143">
      <c r="A1143" s="21" t="inlineStr">
        <is>
          <t>INV-10992</t>
        </is>
      </c>
      <c r="B1143" s="22" t="n">
        <v>46005</v>
      </c>
      <c r="C1143" s="21" t="inlineStr">
        <is>
          <t>R04</t>
        </is>
      </c>
      <c r="D1143" s="21" t="inlineStr">
        <is>
          <t>P600</t>
        </is>
      </c>
      <c r="E1143" s="21" t="n">
        <v>17</v>
      </c>
      <c r="F1143" s="23" t="n">
        <v>0.1</v>
      </c>
      <c r="G1143" s="24">
        <f>TEXT(B1143,"mmm")</f>
        <v/>
      </c>
      <c r="H1143" s="24">
        <f>HLOOKUP(C1143,Lookups!$H$4:$K$5,2,FALSE)</f>
        <v/>
      </c>
      <c r="I1143" s="24">
        <f>VLOOKUP(D1143,Lookups!$A$5:$E$10,2,FALSE)</f>
        <v/>
      </c>
      <c r="J1143" s="24">
        <f>VLOOKUP(D1143,Lookups!$A$5:$E$10,3,FALSE)</f>
        <v/>
      </c>
      <c r="K1143" s="25">
        <f>VLOOKUP(D1143,Lookups!$A$5:$E$10,4,FALSE)</f>
        <v/>
      </c>
      <c r="L1143" s="25">
        <f>E1143*K1143*(1-F1143)</f>
        <v/>
      </c>
      <c r="M1143" s="25">
        <f>L1143*VLOOKUP(D1143,Lookups!$A$5:$E$10,5,FALSE)</f>
        <v/>
      </c>
    </row>
    <row r="1144">
      <c r="A1144" s="21" t="inlineStr">
        <is>
          <t>INV-11057</t>
        </is>
      </c>
      <c r="B1144" s="22" t="n">
        <v>46005</v>
      </c>
      <c r="C1144" s="21" t="inlineStr">
        <is>
          <t>R02</t>
        </is>
      </c>
      <c r="D1144" s="21" t="inlineStr">
        <is>
          <t>P500</t>
        </is>
      </c>
      <c r="E1144" s="21" t="n">
        <v>19</v>
      </c>
      <c r="F1144" s="23" t="n">
        <v>0</v>
      </c>
      <c r="G1144" s="24">
        <f>TEXT(B1144,"mmm")</f>
        <v/>
      </c>
      <c r="H1144" s="24">
        <f>HLOOKUP(C1144,Lookups!$H$4:$K$5,2,FALSE)</f>
        <v/>
      </c>
      <c r="I1144" s="24">
        <f>VLOOKUP(D1144,Lookups!$A$5:$E$10,2,FALSE)</f>
        <v/>
      </c>
      <c r="J1144" s="24">
        <f>VLOOKUP(D1144,Lookups!$A$5:$E$10,3,FALSE)</f>
        <v/>
      </c>
      <c r="K1144" s="25">
        <f>VLOOKUP(D1144,Lookups!$A$5:$E$10,4,FALSE)</f>
        <v/>
      </c>
      <c r="L1144" s="25">
        <f>E1144*K1144*(1-F1144)</f>
        <v/>
      </c>
      <c r="M1144" s="25">
        <f>L1144*VLOOKUP(D1144,Lookups!$A$5:$E$10,5,FALSE)</f>
        <v/>
      </c>
    </row>
    <row r="1145">
      <c r="A1145" s="21" t="inlineStr">
        <is>
          <t>INV-10473</t>
        </is>
      </c>
      <c r="B1145" s="22" t="n">
        <v>46006</v>
      </c>
      <c r="C1145" s="21" t="inlineStr">
        <is>
          <t>R01</t>
        </is>
      </c>
      <c r="D1145" s="21" t="inlineStr">
        <is>
          <t>P500</t>
        </is>
      </c>
      <c r="E1145" s="21" t="n">
        <v>17</v>
      </c>
      <c r="F1145" s="23" t="n">
        <v>0.1</v>
      </c>
      <c r="G1145" s="24">
        <f>TEXT(B1145,"mmm")</f>
        <v/>
      </c>
      <c r="H1145" s="24">
        <f>HLOOKUP(C1145,Lookups!$H$4:$K$5,2,FALSE)</f>
        <v/>
      </c>
      <c r="I1145" s="24">
        <f>VLOOKUP(D1145,Lookups!$A$5:$E$10,2,FALSE)</f>
        <v/>
      </c>
      <c r="J1145" s="24">
        <f>VLOOKUP(D1145,Lookups!$A$5:$E$10,3,FALSE)</f>
        <v/>
      </c>
      <c r="K1145" s="25">
        <f>VLOOKUP(D1145,Lookups!$A$5:$E$10,4,FALSE)</f>
        <v/>
      </c>
      <c r="L1145" s="25">
        <f>E1145*K1145*(1-F1145)</f>
        <v/>
      </c>
      <c r="M1145" s="25">
        <f>L1145*VLOOKUP(D1145,Lookups!$A$5:$E$10,5,FALSE)</f>
        <v/>
      </c>
    </row>
    <row r="1146">
      <c r="A1146" s="21" t="inlineStr">
        <is>
          <t>INV-10548</t>
        </is>
      </c>
      <c r="B1146" s="22" t="n">
        <v>46006</v>
      </c>
      <c r="C1146" s="21" t="inlineStr">
        <is>
          <t>R04</t>
        </is>
      </c>
      <c r="D1146" s="21" t="inlineStr">
        <is>
          <t>P500</t>
        </is>
      </c>
      <c r="E1146" s="21" t="n">
        <v>3</v>
      </c>
      <c r="F1146" s="23" t="n">
        <v>0.05</v>
      </c>
      <c r="G1146" s="24">
        <f>TEXT(B1146,"mmm")</f>
        <v/>
      </c>
      <c r="H1146" s="24">
        <f>HLOOKUP(C1146,Lookups!$H$4:$K$5,2,FALSE)</f>
        <v/>
      </c>
      <c r="I1146" s="24">
        <f>VLOOKUP(D1146,Lookups!$A$5:$E$10,2,FALSE)</f>
        <v/>
      </c>
      <c r="J1146" s="24">
        <f>VLOOKUP(D1146,Lookups!$A$5:$E$10,3,FALSE)</f>
        <v/>
      </c>
      <c r="K1146" s="25">
        <f>VLOOKUP(D1146,Lookups!$A$5:$E$10,4,FALSE)</f>
        <v/>
      </c>
      <c r="L1146" s="25">
        <f>E1146*K1146*(1-F1146)</f>
        <v/>
      </c>
      <c r="M1146" s="25">
        <f>L1146*VLOOKUP(D1146,Lookups!$A$5:$E$10,5,FALSE)</f>
        <v/>
      </c>
    </row>
    <row r="1147">
      <c r="A1147" s="21" t="inlineStr">
        <is>
          <t>INV-11101</t>
        </is>
      </c>
      <c r="B1147" s="22" t="n">
        <v>46006</v>
      </c>
      <c r="C1147" s="21" t="inlineStr">
        <is>
          <t>R03</t>
        </is>
      </c>
      <c r="D1147" s="21" t="inlineStr">
        <is>
          <t>P300</t>
        </is>
      </c>
      <c r="E1147" s="21" t="n">
        <v>6</v>
      </c>
      <c r="F1147" s="23" t="n">
        <v>0</v>
      </c>
      <c r="G1147" s="24">
        <f>TEXT(B1147,"mmm")</f>
        <v/>
      </c>
      <c r="H1147" s="24">
        <f>HLOOKUP(C1147,Lookups!$H$4:$K$5,2,FALSE)</f>
        <v/>
      </c>
      <c r="I1147" s="24">
        <f>VLOOKUP(D1147,Lookups!$A$5:$E$10,2,FALSE)</f>
        <v/>
      </c>
      <c r="J1147" s="24">
        <f>VLOOKUP(D1147,Lookups!$A$5:$E$10,3,FALSE)</f>
        <v/>
      </c>
      <c r="K1147" s="25">
        <f>VLOOKUP(D1147,Lookups!$A$5:$E$10,4,FALSE)</f>
        <v/>
      </c>
      <c r="L1147" s="25">
        <f>E1147*K1147*(1-F1147)</f>
        <v/>
      </c>
      <c r="M1147" s="25">
        <f>L1147*VLOOKUP(D1147,Lookups!$A$5:$E$10,5,FALSE)</f>
        <v/>
      </c>
    </row>
    <row r="1148">
      <c r="A1148" s="21" t="inlineStr">
        <is>
          <t>INV-10028</t>
        </is>
      </c>
      <c r="B1148" s="22" t="n">
        <v>46007</v>
      </c>
      <c r="C1148" s="21" t="inlineStr">
        <is>
          <t>R03</t>
        </is>
      </c>
      <c r="D1148" s="21" t="inlineStr">
        <is>
          <t>P500</t>
        </is>
      </c>
      <c r="E1148" s="21" t="n">
        <v>25</v>
      </c>
      <c r="F1148" s="23" t="n">
        <v>0.05</v>
      </c>
      <c r="G1148" s="24">
        <f>TEXT(B1148,"mmm")</f>
        <v/>
      </c>
      <c r="H1148" s="24">
        <f>HLOOKUP(C1148,Lookups!$H$4:$K$5,2,FALSE)</f>
        <v/>
      </c>
      <c r="I1148" s="24">
        <f>VLOOKUP(D1148,Lookups!$A$5:$E$10,2,FALSE)</f>
        <v/>
      </c>
      <c r="J1148" s="24">
        <f>VLOOKUP(D1148,Lookups!$A$5:$E$10,3,FALSE)</f>
        <v/>
      </c>
      <c r="K1148" s="25">
        <f>VLOOKUP(D1148,Lookups!$A$5:$E$10,4,FALSE)</f>
        <v/>
      </c>
      <c r="L1148" s="25">
        <f>E1148*K1148*(1-F1148)</f>
        <v/>
      </c>
      <c r="M1148" s="25">
        <f>L1148*VLOOKUP(D1148,Lookups!$A$5:$E$10,5,FALSE)</f>
        <v/>
      </c>
    </row>
    <row r="1149">
      <c r="A1149" s="21" t="inlineStr">
        <is>
          <t>INV-10772</t>
        </is>
      </c>
      <c r="B1149" s="22" t="n">
        <v>46007</v>
      </c>
      <c r="C1149" s="21" t="inlineStr">
        <is>
          <t>R02</t>
        </is>
      </c>
      <c r="D1149" s="21" t="inlineStr">
        <is>
          <t>P400</t>
        </is>
      </c>
      <c r="E1149" s="21" t="n">
        <v>21</v>
      </c>
      <c r="F1149" s="23" t="n">
        <v>0</v>
      </c>
      <c r="G1149" s="24">
        <f>TEXT(B1149,"mmm")</f>
        <v/>
      </c>
      <c r="H1149" s="24">
        <f>HLOOKUP(C1149,Lookups!$H$4:$K$5,2,FALSE)</f>
        <v/>
      </c>
      <c r="I1149" s="24">
        <f>VLOOKUP(D1149,Lookups!$A$5:$E$10,2,FALSE)</f>
        <v/>
      </c>
      <c r="J1149" s="24">
        <f>VLOOKUP(D1149,Lookups!$A$5:$E$10,3,FALSE)</f>
        <v/>
      </c>
      <c r="K1149" s="25">
        <f>VLOOKUP(D1149,Lookups!$A$5:$E$10,4,FALSE)</f>
        <v/>
      </c>
      <c r="L1149" s="25">
        <f>E1149*K1149*(1-F1149)</f>
        <v/>
      </c>
      <c r="M1149" s="25">
        <f>L1149*VLOOKUP(D1149,Lookups!$A$5:$E$10,5,FALSE)</f>
        <v/>
      </c>
    </row>
    <row r="1150">
      <c r="A1150" s="21" t="inlineStr">
        <is>
          <t>INV-10800</t>
        </is>
      </c>
      <c r="B1150" s="22" t="n">
        <v>46007</v>
      </c>
      <c r="C1150" s="21" t="inlineStr">
        <is>
          <t>R04</t>
        </is>
      </c>
      <c r="D1150" s="21" t="inlineStr">
        <is>
          <t>P100</t>
        </is>
      </c>
      <c r="E1150" s="21" t="n">
        <v>5</v>
      </c>
      <c r="F1150" s="23" t="n">
        <v>0</v>
      </c>
      <c r="G1150" s="24">
        <f>TEXT(B1150,"mmm")</f>
        <v/>
      </c>
      <c r="H1150" s="24">
        <f>HLOOKUP(C1150,Lookups!$H$4:$K$5,2,FALSE)</f>
        <v/>
      </c>
      <c r="I1150" s="24">
        <f>VLOOKUP(D1150,Lookups!$A$5:$E$10,2,FALSE)</f>
        <v/>
      </c>
      <c r="J1150" s="24">
        <f>VLOOKUP(D1150,Lookups!$A$5:$E$10,3,FALSE)</f>
        <v/>
      </c>
      <c r="K1150" s="25">
        <f>VLOOKUP(D1150,Lookups!$A$5:$E$10,4,FALSE)</f>
        <v/>
      </c>
      <c r="L1150" s="25">
        <f>E1150*K1150*(1-F1150)</f>
        <v/>
      </c>
      <c r="M1150" s="25">
        <f>L1150*VLOOKUP(D1150,Lookups!$A$5:$E$10,5,FALSE)</f>
        <v/>
      </c>
    </row>
    <row r="1151">
      <c r="A1151" s="21" t="inlineStr">
        <is>
          <t>INV-10018</t>
        </is>
      </c>
      <c r="B1151" s="22" t="n">
        <v>46008</v>
      </c>
      <c r="C1151" s="21" t="inlineStr">
        <is>
          <t>R01</t>
        </is>
      </c>
      <c r="D1151" s="21" t="inlineStr">
        <is>
          <t>P300</t>
        </is>
      </c>
      <c r="E1151" s="21" t="n">
        <v>8</v>
      </c>
      <c r="F1151" s="23" t="n">
        <v>0</v>
      </c>
      <c r="G1151" s="24">
        <f>TEXT(B1151,"mmm")</f>
        <v/>
      </c>
      <c r="H1151" s="24">
        <f>HLOOKUP(C1151,Lookups!$H$4:$K$5,2,FALSE)</f>
        <v/>
      </c>
      <c r="I1151" s="24">
        <f>VLOOKUP(D1151,Lookups!$A$5:$E$10,2,FALSE)</f>
        <v/>
      </c>
      <c r="J1151" s="24">
        <f>VLOOKUP(D1151,Lookups!$A$5:$E$10,3,FALSE)</f>
        <v/>
      </c>
      <c r="K1151" s="25">
        <f>VLOOKUP(D1151,Lookups!$A$5:$E$10,4,FALSE)</f>
        <v/>
      </c>
      <c r="L1151" s="25">
        <f>E1151*K1151*(1-F1151)</f>
        <v/>
      </c>
      <c r="M1151" s="25">
        <f>L1151*VLOOKUP(D1151,Lookups!$A$5:$E$10,5,FALSE)</f>
        <v/>
      </c>
    </row>
    <row r="1152">
      <c r="A1152" s="21" t="inlineStr">
        <is>
          <t>INV-10558</t>
        </is>
      </c>
      <c r="B1152" s="22" t="n">
        <v>46008</v>
      </c>
      <c r="C1152" s="21" t="inlineStr">
        <is>
          <t>R02</t>
        </is>
      </c>
      <c r="D1152" s="21" t="inlineStr">
        <is>
          <t>P400</t>
        </is>
      </c>
      <c r="E1152" s="21" t="n">
        <v>5</v>
      </c>
      <c r="F1152" s="23" t="n">
        <v>0.05</v>
      </c>
      <c r="G1152" s="24">
        <f>TEXT(B1152,"mmm")</f>
        <v/>
      </c>
      <c r="H1152" s="24">
        <f>HLOOKUP(C1152,Lookups!$H$4:$K$5,2,FALSE)</f>
        <v/>
      </c>
      <c r="I1152" s="24">
        <f>VLOOKUP(D1152,Lookups!$A$5:$E$10,2,FALSE)</f>
        <v/>
      </c>
      <c r="J1152" s="24">
        <f>VLOOKUP(D1152,Lookups!$A$5:$E$10,3,FALSE)</f>
        <v/>
      </c>
      <c r="K1152" s="25">
        <f>VLOOKUP(D1152,Lookups!$A$5:$E$10,4,FALSE)</f>
        <v/>
      </c>
      <c r="L1152" s="25">
        <f>E1152*K1152*(1-F1152)</f>
        <v/>
      </c>
      <c r="M1152" s="25">
        <f>L1152*VLOOKUP(D1152,Lookups!$A$5:$E$10,5,FALSE)</f>
        <v/>
      </c>
    </row>
    <row r="1153">
      <c r="A1153" s="21" t="inlineStr">
        <is>
          <t>INV-10272</t>
        </is>
      </c>
      <c r="B1153" s="22" t="n">
        <v>46009</v>
      </c>
      <c r="C1153" s="21" t="inlineStr">
        <is>
          <t>R01</t>
        </is>
      </c>
      <c r="D1153" s="21" t="inlineStr">
        <is>
          <t>P400</t>
        </is>
      </c>
      <c r="E1153" s="21" t="n">
        <v>3</v>
      </c>
      <c r="F1153" s="23" t="n">
        <v>0</v>
      </c>
      <c r="G1153" s="24">
        <f>TEXT(B1153,"mmm")</f>
        <v/>
      </c>
      <c r="H1153" s="24">
        <f>HLOOKUP(C1153,Lookups!$H$4:$K$5,2,FALSE)</f>
        <v/>
      </c>
      <c r="I1153" s="24">
        <f>VLOOKUP(D1153,Lookups!$A$5:$E$10,2,FALSE)</f>
        <v/>
      </c>
      <c r="J1153" s="24">
        <f>VLOOKUP(D1153,Lookups!$A$5:$E$10,3,FALSE)</f>
        <v/>
      </c>
      <c r="K1153" s="25">
        <f>VLOOKUP(D1153,Lookups!$A$5:$E$10,4,FALSE)</f>
        <v/>
      </c>
      <c r="L1153" s="25">
        <f>E1153*K1153*(1-F1153)</f>
        <v/>
      </c>
      <c r="M1153" s="25">
        <f>L1153*VLOOKUP(D1153,Lookups!$A$5:$E$10,5,FALSE)</f>
        <v/>
      </c>
    </row>
    <row r="1154">
      <c r="A1154" s="21" t="inlineStr">
        <is>
          <t>INV-10707</t>
        </is>
      </c>
      <c r="B1154" s="22" t="n">
        <v>46009</v>
      </c>
      <c r="C1154" s="21" t="inlineStr">
        <is>
          <t>R01</t>
        </is>
      </c>
      <c r="D1154" s="21" t="inlineStr">
        <is>
          <t>P600</t>
        </is>
      </c>
      <c r="E1154" s="21" t="n">
        <v>19</v>
      </c>
      <c r="F1154" s="23" t="n">
        <v>0.05</v>
      </c>
      <c r="G1154" s="24">
        <f>TEXT(B1154,"mmm")</f>
        <v/>
      </c>
      <c r="H1154" s="24">
        <f>HLOOKUP(C1154,Lookups!$H$4:$K$5,2,FALSE)</f>
        <v/>
      </c>
      <c r="I1154" s="24">
        <f>VLOOKUP(D1154,Lookups!$A$5:$E$10,2,FALSE)</f>
        <v/>
      </c>
      <c r="J1154" s="24">
        <f>VLOOKUP(D1154,Lookups!$A$5:$E$10,3,FALSE)</f>
        <v/>
      </c>
      <c r="K1154" s="25">
        <f>VLOOKUP(D1154,Lookups!$A$5:$E$10,4,FALSE)</f>
        <v/>
      </c>
      <c r="L1154" s="25">
        <f>E1154*K1154*(1-F1154)</f>
        <v/>
      </c>
      <c r="M1154" s="25">
        <f>L1154*VLOOKUP(D1154,Lookups!$A$5:$E$10,5,FALSE)</f>
        <v/>
      </c>
    </row>
    <row r="1155">
      <c r="A1155" s="21" t="inlineStr">
        <is>
          <t>INV-10929</t>
        </is>
      </c>
      <c r="B1155" s="22" t="n">
        <v>46009</v>
      </c>
      <c r="C1155" s="21" t="inlineStr">
        <is>
          <t>R01</t>
        </is>
      </c>
      <c r="D1155" s="21" t="inlineStr">
        <is>
          <t>P200</t>
        </is>
      </c>
      <c r="E1155" s="21" t="n">
        <v>15</v>
      </c>
      <c r="F1155" s="23" t="n">
        <v>0.05</v>
      </c>
      <c r="G1155" s="24">
        <f>TEXT(B1155,"mmm")</f>
        <v/>
      </c>
      <c r="H1155" s="24">
        <f>HLOOKUP(C1155,Lookups!$H$4:$K$5,2,FALSE)</f>
        <v/>
      </c>
      <c r="I1155" s="24">
        <f>VLOOKUP(D1155,Lookups!$A$5:$E$10,2,FALSE)</f>
        <v/>
      </c>
      <c r="J1155" s="24">
        <f>VLOOKUP(D1155,Lookups!$A$5:$E$10,3,FALSE)</f>
        <v/>
      </c>
      <c r="K1155" s="25">
        <f>VLOOKUP(D1155,Lookups!$A$5:$E$10,4,FALSE)</f>
        <v/>
      </c>
      <c r="L1155" s="25">
        <f>E1155*K1155*(1-F1155)</f>
        <v/>
      </c>
      <c r="M1155" s="25">
        <f>L1155*VLOOKUP(D1155,Lookups!$A$5:$E$10,5,FALSE)</f>
        <v/>
      </c>
    </row>
    <row r="1156">
      <c r="A1156" s="21" t="inlineStr">
        <is>
          <t>INV-10636</t>
        </is>
      </c>
      <c r="B1156" s="22" t="n">
        <v>46010</v>
      </c>
      <c r="C1156" s="21" t="inlineStr">
        <is>
          <t>R03</t>
        </is>
      </c>
      <c r="D1156" s="21" t="inlineStr">
        <is>
          <t>P200</t>
        </is>
      </c>
      <c r="E1156" s="21" t="n">
        <v>6</v>
      </c>
      <c r="F1156" s="23" t="n">
        <v>0.05</v>
      </c>
      <c r="G1156" s="24">
        <f>TEXT(B1156,"mmm")</f>
        <v/>
      </c>
      <c r="H1156" s="24">
        <f>HLOOKUP(C1156,Lookups!$H$4:$K$5,2,FALSE)</f>
        <v/>
      </c>
      <c r="I1156" s="24">
        <f>VLOOKUP(D1156,Lookups!$A$5:$E$10,2,FALSE)</f>
        <v/>
      </c>
      <c r="J1156" s="24">
        <f>VLOOKUP(D1156,Lookups!$A$5:$E$10,3,FALSE)</f>
        <v/>
      </c>
      <c r="K1156" s="25">
        <f>VLOOKUP(D1156,Lookups!$A$5:$E$10,4,FALSE)</f>
        <v/>
      </c>
      <c r="L1156" s="25">
        <f>E1156*K1156*(1-F1156)</f>
        <v/>
      </c>
      <c r="M1156" s="25">
        <f>L1156*VLOOKUP(D1156,Lookups!$A$5:$E$10,5,FALSE)</f>
        <v/>
      </c>
    </row>
    <row r="1157">
      <c r="A1157" s="21" t="inlineStr">
        <is>
          <t>INV-10737</t>
        </is>
      </c>
      <c r="B1157" s="22" t="n">
        <v>46010</v>
      </c>
      <c r="C1157" s="21" t="inlineStr">
        <is>
          <t>R02</t>
        </is>
      </c>
      <c r="D1157" s="21" t="inlineStr">
        <is>
          <t>P300</t>
        </is>
      </c>
      <c r="E1157" s="21" t="n">
        <v>6</v>
      </c>
      <c r="F1157" s="23" t="n">
        <v>0</v>
      </c>
      <c r="G1157" s="24">
        <f>TEXT(B1157,"mmm")</f>
        <v/>
      </c>
      <c r="H1157" s="24">
        <f>HLOOKUP(C1157,Lookups!$H$4:$K$5,2,FALSE)</f>
        <v/>
      </c>
      <c r="I1157" s="24">
        <f>VLOOKUP(D1157,Lookups!$A$5:$E$10,2,FALSE)</f>
        <v/>
      </c>
      <c r="J1157" s="24">
        <f>VLOOKUP(D1157,Lookups!$A$5:$E$10,3,FALSE)</f>
        <v/>
      </c>
      <c r="K1157" s="25">
        <f>VLOOKUP(D1157,Lookups!$A$5:$E$10,4,FALSE)</f>
        <v/>
      </c>
      <c r="L1157" s="25">
        <f>E1157*K1157*(1-F1157)</f>
        <v/>
      </c>
      <c r="M1157" s="25">
        <f>L1157*VLOOKUP(D1157,Lookups!$A$5:$E$10,5,FALSE)</f>
        <v/>
      </c>
    </row>
    <row r="1158">
      <c r="A1158" s="21" t="inlineStr">
        <is>
          <t>INV-10999</t>
        </is>
      </c>
      <c r="B1158" s="22" t="n">
        <v>46010</v>
      </c>
      <c r="C1158" s="21" t="inlineStr">
        <is>
          <t>R04</t>
        </is>
      </c>
      <c r="D1158" s="21" t="inlineStr">
        <is>
          <t>P300</t>
        </is>
      </c>
      <c r="E1158" s="21" t="n">
        <v>12</v>
      </c>
      <c r="F1158" s="23" t="n">
        <v>0</v>
      </c>
      <c r="G1158" s="24">
        <f>TEXT(B1158,"mmm")</f>
        <v/>
      </c>
      <c r="H1158" s="24">
        <f>HLOOKUP(C1158,Lookups!$H$4:$K$5,2,FALSE)</f>
        <v/>
      </c>
      <c r="I1158" s="24">
        <f>VLOOKUP(D1158,Lookups!$A$5:$E$10,2,FALSE)</f>
        <v/>
      </c>
      <c r="J1158" s="24">
        <f>VLOOKUP(D1158,Lookups!$A$5:$E$10,3,FALSE)</f>
        <v/>
      </c>
      <c r="K1158" s="25">
        <f>VLOOKUP(D1158,Lookups!$A$5:$E$10,4,FALSE)</f>
        <v/>
      </c>
      <c r="L1158" s="25">
        <f>E1158*K1158*(1-F1158)</f>
        <v/>
      </c>
      <c r="M1158" s="25">
        <f>L1158*VLOOKUP(D1158,Lookups!$A$5:$E$10,5,FALSE)</f>
        <v/>
      </c>
    </row>
    <row r="1159">
      <c r="A1159" s="21" t="inlineStr">
        <is>
          <t>INV-11107</t>
        </is>
      </c>
      <c r="B1159" s="22" t="n">
        <v>46010</v>
      </c>
      <c r="C1159" s="21" t="inlineStr">
        <is>
          <t>R02</t>
        </is>
      </c>
      <c r="D1159" s="21" t="inlineStr">
        <is>
          <t>P500</t>
        </is>
      </c>
      <c r="E1159" s="21" t="n">
        <v>12</v>
      </c>
      <c r="F1159" s="23" t="n">
        <v>0</v>
      </c>
      <c r="G1159" s="24">
        <f>TEXT(B1159,"mmm")</f>
        <v/>
      </c>
      <c r="H1159" s="24">
        <f>HLOOKUP(C1159,Lookups!$H$4:$K$5,2,FALSE)</f>
        <v/>
      </c>
      <c r="I1159" s="24">
        <f>VLOOKUP(D1159,Lookups!$A$5:$E$10,2,FALSE)</f>
        <v/>
      </c>
      <c r="J1159" s="24">
        <f>VLOOKUP(D1159,Lookups!$A$5:$E$10,3,FALSE)</f>
        <v/>
      </c>
      <c r="K1159" s="25">
        <f>VLOOKUP(D1159,Lookups!$A$5:$E$10,4,FALSE)</f>
        <v/>
      </c>
      <c r="L1159" s="25">
        <f>E1159*K1159*(1-F1159)</f>
        <v/>
      </c>
      <c r="M1159" s="25">
        <f>L1159*VLOOKUP(D1159,Lookups!$A$5:$E$10,5,FALSE)</f>
        <v/>
      </c>
    </row>
    <row r="1160">
      <c r="A1160" s="21" t="inlineStr">
        <is>
          <t>INV-11194</t>
        </is>
      </c>
      <c r="B1160" s="22" t="n">
        <v>46010</v>
      </c>
      <c r="C1160" s="21" t="inlineStr">
        <is>
          <t>R02</t>
        </is>
      </c>
      <c r="D1160" s="21" t="inlineStr">
        <is>
          <t>P600</t>
        </is>
      </c>
      <c r="E1160" s="21" t="n">
        <v>14</v>
      </c>
      <c r="F1160" s="23" t="n">
        <v>0</v>
      </c>
      <c r="G1160" s="24">
        <f>TEXT(B1160,"mmm")</f>
        <v/>
      </c>
      <c r="H1160" s="24">
        <f>HLOOKUP(C1160,Lookups!$H$4:$K$5,2,FALSE)</f>
        <v/>
      </c>
      <c r="I1160" s="24">
        <f>VLOOKUP(D1160,Lookups!$A$5:$E$10,2,FALSE)</f>
        <v/>
      </c>
      <c r="J1160" s="24">
        <f>VLOOKUP(D1160,Lookups!$A$5:$E$10,3,FALSE)</f>
        <v/>
      </c>
      <c r="K1160" s="25">
        <f>VLOOKUP(D1160,Lookups!$A$5:$E$10,4,FALSE)</f>
        <v/>
      </c>
      <c r="L1160" s="25">
        <f>E1160*K1160*(1-F1160)</f>
        <v/>
      </c>
      <c r="M1160" s="25">
        <f>L1160*VLOOKUP(D1160,Lookups!$A$5:$E$10,5,FALSE)</f>
        <v/>
      </c>
    </row>
    <row r="1161">
      <c r="A1161" s="21" t="inlineStr">
        <is>
          <t>INV-10300</t>
        </is>
      </c>
      <c r="B1161" s="22" t="n">
        <v>46011</v>
      </c>
      <c r="C1161" s="21" t="inlineStr">
        <is>
          <t>R01</t>
        </is>
      </c>
      <c r="D1161" s="21" t="inlineStr">
        <is>
          <t>P300</t>
        </is>
      </c>
      <c r="E1161" s="21" t="n">
        <v>14</v>
      </c>
      <c r="F1161" s="23" t="n">
        <v>0</v>
      </c>
      <c r="G1161" s="24">
        <f>TEXT(B1161,"mmm")</f>
        <v/>
      </c>
      <c r="H1161" s="24">
        <f>HLOOKUP(C1161,Lookups!$H$4:$K$5,2,FALSE)</f>
        <v/>
      </c>
      <c r="I1161" s="24">
        <f>VLOOKUP(D1161,Lookups!$A$5:$E$10,2,FALSE)</f>
        <v/>
      </c>
      <c r="J1161" s="24">
        <f>VLOOKUP(D1161,Lookups!$A$5:$E$10,3,FALSE)</f>
        <v/>
      </c>
      <c r="K1161" s="25">
        <f>VLOOKUP(D1161,Lookups!$A$5:$E$10,4,FALSE)</f>
        <v/>
      </c>
      <c r="L1161" s="25">
        <f>E1161*K1161*(1-F1161)</f>
        <v/>
      </c>
      <c r="M1161" s="25">
        <f>L1161*VLOOKUP(D1161,Lookups!$A$5:$E$10,5,FALSE)</f>
        <v/>
      </c>
    </row>
    <row r="1162">
      <c r="A1162" s="21" t="inlineStr">
        <is>
          <t>INV-10442</t>
        </is>
      </c>
      <c r="B1162" s="22" t="n">
        <v>46011</v>
      </c>
      <c r="C1162" s="21" t="inlineStr">
        <is>
          <t>R04</t>
        </is>
      </c>
      <c r="D1162" s="21" t="inlineStr">
        <is>
          <t>P600</t>
        </is>
      </c>
      <c r="E1162" s="21" t="n">
        <v>11</v>
      </c>
      <c r="F1162" s="23" t="n">
        <v>0.1</v>
      </c>
      <c r="G1162" s="24">
        <f>TEXT(B1162,"mmm")</f>
        <v/>
      </c>
      <c r="H1162" s="24">
        <f>HLOOKUP(C1162,Lookups!$H$4:$K$5,2,FALSE)</f>
        <v/>
      </c>
      <c r="I1162" s="24">
        <f>VLOOKUP(D1162,Lookups!$A$5:$E$10,2,FALSE)</f>
        <v/>
      </c>
      <c r="J1162" s="24">
        <f>VLOOKUP(D1162,Lookups!$A$5:$E$10,3,FALSE)</f>
        <v/>
      </c>
      <c r="K1162" s="25">
        <f>VLOOKUP(D1162,Lookups!$A$5:$E$10,4,FALSE)</f>
        <v/>
      </c>
      <c r="L1162" s="25">
        <f>E1162*K1162*(1-F1162)</f>
        <v/>
      </c>
      <c r="M1162" s="25">
        <f>L1162*VLOOKUP(D1162,Lookups!$A$5:$E$10,5,FALSE)</f>
        <v/>
      </c>
    </row>
    <row r="1163">
      <c r="A1163" s="21" t="inlineStr">
        <is>
          <t>INV-10469</t>
        </is>
      </c>
      <c r="B1163" s="22" t="n">
        <v>46011</v>
      </c>
      <c r="C1163" s="21" t="inlineStr">
        <is>
          <t>R03</t>
        </is>
      </c>
      <c r="D1163" s="21" t="inlineStr">
        <is>
          <t>P100</t>
        </is>
      </c>
      <c r="E1163" s="21" t="n">
        <v>12</v>
      </c>
      <c r="F1163" s="23" t="n">
        <v>0</v>
      </c>
      <c r="G1163" s="24">
        <f>TEXT(B1163,"mmm")</f>
        <v/>
      </c>
      <c r="H1163" s="24">
        <f>HLOOKUP(C1163,Lookups!$H$4:$K$5,2,FALSE)</f>
        <v/>
      </c>
      <c r="I1163" s="24">
        <f>VLOOKUP(D1163,Lookups!$A$5:$E$10,2,FALSE)</f>
        <v/>
      </c>
      <c r="J1163" s="24">
        <f>VLOOKUP(D1163,Lookups!$A$5:$E$10,3,FALSE)</f>
        <v/>
      </c>
      <c r="K1163" s="25">
        <f>VLOOKUP(D1163,Lookups!$A$5:$E$10,4,FALSE)</f>
        <v/>
      </c>
      <c r="L1163" s="25">
        <f>E1163*K1163*(1-F1163)</f>
        <v/>
      </c>
      <c r="M1163" s="25">
        <f>L1163*VLOOKUP(D1163,Lookups!$A$5:$E$10,5,FALSE)</f>
        <v/>
      </c>
    </row>
    <row r="1164">
      <c r="A1164" s="21" t="inlineStr">
        <is>
          <t>INV-10902</t>
        </is>
      </c>
      <c r="B1164" s="22" t="n">
        <v>46011</v>
      </c>
      <c r="C1164" s="21" t="inlineStr">
        <is>
          <t>R02</t>
        </is>
      </c>
      <c r="D1164" s="21" t="inlineStr">
        <is>
          <t>P300</t>
        </is>
      </c>
      <c r="E1164" s="21" t="n">
        <v>25</v>
      </c>
      <c r="F1164" s="23" t="n">
        <v>0</v>
      </c>
      <c r="G1164" s="24">
        <f>TEXT(B1164,"mmm")</f>
        <v/>
      </c>
      <c r="H1164" s="24">
        <f>HLOOKUP(C1164,Lookups!$H$4:$K$5,2,FALSE)</f>
        <v/>
      </c>
      <c r="I1164" s="24">
        <f>VLOOKUP(D1164,Lookups!$A$5:$E$10,2,FALSE)</f>
        <v/>
      </c>
      <c r="J1164" s="24">
        <f>VLOOKUP(D1164,Lookups!$A$5:$E$10,3,FALSE)</f>
        <v/>
      </c>
      <c r="K1164" s="25">
        <f>VLOOKUP(D1164,Lookups!$A$5:$E$10,4,FALSE)</f>
        <v/>
      </c>
      <c r="L1164" s="25">
        <f>E1164*K1164*(1-F1164)</f>
        <v/>
      </c>
      <c r="M1164" s="25">
        <f>L1164*VLOOKUP(D1164,Lookups!$A$5:$E$10,5,FALSE)</f>
        <v/>
      </c>
    </row>
    <row r="1165">
      <c r="A1165" s="21" t="inlineStr">
        <is>
          <t>INV-10367</t>
        </is>
      </c>
      <c r="B1165" s="22" t="n">
        <v>46012</v>
      </c>
      <c r="C1165" s="21" t="inlineStr">
        <is>
          <t>R03</t>
        </is>
      </c>
      <c r="D1165" s="21" t="inlineStr">
        <is>
          <t>P400</t>
        </is>
      </c>
      <c r="E1165" s="21" t="n">
        <v>17</v>
      </c>
      <c r="F1165" s="23" t="n">
        <v>0.05</v>
      </c>
      <c r="G1165" s="24">
        <f>TEXT(B1165,"mmm")</f>
        <v/>
      </c>
      <c r="H1165" s="24">
        <f>HLOOKUP(C1165,Lookups!$H$4:$K$5,2,FALSE)</f>
        <v/>
      </c>
      <c r="I1165" s="24">
        <f>VLOOKUP(D1165,Lookups!$A$5:$E$10,2,FALSE)</f>
        <v/>
      </c>
      <c r="J1165" s="24">
        <f>VLOOKUP(D1165,Lookups!$A$5:$E$10,3,FALSE)</f>
        <v/>
      </c>
      <c r="K1165" s="25">
        <f>VLOOKUP(D1165,Lookups!$A$5:$E$10,4,FALSE)</f>
        <v/>
      </c>
      <c r="L1165" s="25">
        <f>E1165*K1165*(1-F1165)</f>
        <v/>
      </c>
      <c r="M1165" s="25">
        <f>L1165*VLOOKUP(D1165,Lookups!$A$5:$E$10,5,FALSE)</f>
        <v/>
      </c>
    </row>
    <row r="1166">
      <c r="A1166" s="21" t="inlineStr">
        <is>
          <t>INV-10467</t>
        </is>
      </c>
      <c r="B1166" s="22" t="n">
        <v>46012</v>
      </c>
      <c r="C1166" s="21" t="inlineStr">
        <is>
          <t>R01</t>
        </is>
      </c>
      <c r="D1166" s="21" t="inlineStr">
        <is>
          <t>P200</t>
        </is>
      </c>
      <c r="E1166" s="21" t="n">
        <v>22</v>
      </c>
      <c r="F1166" s="23" t="n">
        <v>0</v>
      </c>
      <c r="G1166" s="24">
        <f>TEXT(B1166,"mmm")</f>
        <v/>
      </c>
      <c r="H1166" s="24">
        <f>HLOOKUP(C1166,Lookups!$H$4:$K$5,2,FALSE)</f>
        <v/>
      </c>
      <c r="I1166" s="24">
        <f>VLOOKUP(D1166,Lookups!$A$5:$E$10,2,FALSE)</f>
        <v/>
      </c>
      <c r="J1166" s="24">
        <f>VLOOKUP(D1166,Lookups!$A$5:$E$10,3,FALSE)</f>
        <v/>
      </c>
      <c r="K1166" s="25">
        <f>VLOOKUP(D1166,Lookups!$A$5:$E$10,4,FALSE)</f>
        <v/>
      </c>
      <c r="L1166" s="25">
        <f>E1166*K1166*(1-F1166)</f>
        <v/>
      </c>
      <c r="M1166" s="25">
        <f>L1166*VLOOKUP(D1166,Lookups!$A$5:$E$10,5,FALSE)</f>
        <v/>
      </c>
    </row>
    <row r="1167">
      <c r="A1167" s="21" t="inlineStr">
        <is>
          <t>INV-10572</t>
        </is>
      </c>
      <c r="B1167" s="22" t="n">
        <v>46012</v>
      </c>
      <c r="C1167" s="21" t="inlineStr">
        <is>
          <t>R04</t>
        </is>
      </c>
      <c r="D1167" s="21" t="inlineStr">
        <is>
          <t>P100</t>
        </is>
      </c>
      <c r="E1167" s="21" t="n">
        <v>22</v>
      </c>
      <c r="F1167" s="23" t="n">
        <v>0.1</v>
      </c>
      <c r="G1167" s="24">
        <f>TEXT(B1167,"mmm")</f>
        <v/>
      </c>
      <c r="H1167" s="24">
        <f>HLOOKUP(C1167,Lookups!$H$4:$K$5,2,FALSE)</f>
        <v/>
      </c>
      <c r="I1167" s="24">
        <f>VLOOKUP(D1167,Lookups!$A$5:$E$10,2,FALSE)</f>
        <v/>
      </c>
      <c r="J1167" s="24">
        <f>VLOOKUP(D1167,Lookups!$A$5:$E$10,3,FALSE)</f>
        <v/>
      </c>
      <c r="K1167" s="25">
        <f>VLOOKUP(D1167,Lookups!$A$5:$E$10,4,FALSE)</f>
        <v/>
      </c>
      <c r="L1167" s="25">
        <f>E1167*K1167*(1-F1167)</f>
        <v/>
      </c>
      <c r="M1167" s="25">
        <f>L1167*VLOOKUP(D1167,Lookups!$A$5:$E$10,5,FALSE)</f>
        <v/>
      </c>
    </row>
    <row r="1168">
      <c r="A1168" s="21" t="inlineStr">
        <is>
          <t>INV-10744</t>
        </is>
      </c>
      <c r="B1168" s="22" t="n">
        <v>46012</v>
      </c>
      <c r="C1168" s="21" t="inlineStr">
        <is>
          <t>R03</t>
        </is>
      </c>
      <c r="D1168" s="21" t="inlineStr">
        <is>
          <t>P100</t>
        </is>
      </c>
      <c r="E1168" s="21" t="n">
        <v>9</v>
      </c>
      <c r="F1168" s="23" t="n">
        <v>0</v>
      </c>
      <c r="G1168" s="24">
        <f>TEXT(B1168,"mmm")</f>
        <v/>
      </c>
      <c r="H1168" s="24">
        <f>HLOOKUP(C1168,Lookups!$H$4:$K$5,2,FALSE)</f>
        <v/>
      </c>
      <c r="I1168" s="24">
        <f>VLOOKUP(D1168,Lookups!$A$5:$E$10,2,FALSE)</f>
        <v/>
      </c>
      <c r="J1168" s="24">
        <f>VLOOKUP(D1168,Lookups!$A$5:$E$10,3,FALSE)</f>
        <v/>
      </c>
      <c r="K1168" s="25">
        <f>VLOOKUP(D1168,Lookups!$A$5:$E$10,4,FALSE)</f>
        <v/>
      </c>
      <c r="L1168" s="25">
        <f>E1168*K1168*(1-F1168)</f>
        <v/>
      </c>
      <c r="M1168" s="25">
        <f>L1168*VLOOKUP(D1168,Lookups!$A$5:$E$10,5,FALSE)</f>
        <v/>
      </c>
    </row>
    <row r="1169">
      <c r="A1169" s="21" t="inlineStr">
        <is>
          <t>INV-10905</t>
        </is>
      </c>
      <c r="B1169" s="22" t="n">
        <v>46012</v>
      </c>
      <c r="C1169" s="21" t="inlineStr">
        <is>
          <t>R01</t>
        </is>
      </c>
      <c r="D1169" s="21" t="inlineStr">
        <is>
          <t>P600</t>
        </is>
      </c>
      <c r="E1169" s="21" t="n">
        <v>13</v>
      </c>
      <c r="F1169" s="23" t="n">
        <v>0.1</v>
      </c>
      <c r="G1169" s="24">
        <f>TEXT(B1169,"mmm")</f>
        <v/>
      </c>
      <c r="H1169" s="24">
        <f>HLOOKUP(C1169,Lookups!$H$4:$K$5,2,FALSE)</f>
        <v/>
      </c>
      <c r="I1169" s="24">
        <f>VLOOKUP(D1169,Lookups!$A$5:$E$10,2,FALSE)</f>
        <v/>
      </c>
      <c r="J1169" s="24">
        <f>VLOOKUP(D1169,Lookups!$A$5:$E$10,3,FALSE)</f>
        <v/>
      </c>
      <c r="K1169" s="25">
        <f>VLOOKUP(D1169,Lookups!$A$5:$E$10,4,FALSE)</f>
        <v/>
      </c>
      <c r="L1169" s="25">
        <f>E1169*K1169*(1-F1169)</f>
        <v/>
      </c>
      <c r="M1169" s="25">
        <f>L1169*VLOOKUP(D1169,Lookups!$A$5:$E$10,5,FALSE)</f>
        <v/>
      </c>
    </row>
    <row r="1170">
      <c r="A1170" s="21" t="inlineStr">
        <is>
          <t>INV-10215</t>
        </is>
      </c>
      <c r="B1170" s="22" t="n">
        <v>46013</v>
      </c>
      <c r="C1170" s="21" t="inlineStr">
        <is>
          <t>R01</t>
        </is>
      </c>
      <c r="D1170" s="21" t="inlineStr">
        <is>
          <t>P300</t>
        </is>
      </c>
      <c r="E1170" s="21" t="n">
        <v>2</v>
      </c>
      <c r="F1170" s="23" t="n">
        <v>0.05</v>
      </c>
      <c r="G1170" s="24">
        <f>TEXT(B1170,"mmm")</f>
        <v/>
      </c>
      <c r="H1170" s="24">
        <f>HLOOKUP(C1170,Lookups!$H$4:$K$5,2,FALSE)</f>
        <v/>
      </c>
      <c r="I1170" s="24">
        <f>VLOOKUP(D1170,Lookups!$A$5:$E$10,2,FALSE)</f>
        <v/>
      </c>
      <c r="J1170" s="24">
        <f>VLOOKUP(D1170,Lookups!$A$5:$E$10,3,FALSE)</f>
        <v/>
      </c>
      <c r="K1170" s="25">
        <f>VLOOKUP(D1170,Lookups!$A$5:$E$10,4,FALSE)</f>
        <v/>
      </c>
      <c r="L1170" s="25">
        <f>E1170*K1170*(1-F1170)</f>
        <v/>
      </c>
      <c r="M1170" s="25">
        <f>L1170*VLOOKUP(D1170,Lookups!$A$5:$E$10,5,FALSE)</f>
        <v/>
      </c>
    </row>
    <row r="1171">
      <c r="A1171" s="21" t="inlineStr">
        <is>
          <t>INV-10383</t>
        </is>
      </c>
      <c r="B1171" s="22" t="n">
        <v>46013</v>
      </c>
      <c r="C1171" s="21" t="inlineStr">
        <is>
          <t>R02</t>
        </is>
      </c>
      <c r="D1171" s="21" t="inlineStr">
        <is>
          <t>P400</t>
        </is>
      </c>
      <c r="E1171" s="21" t="n">
        <v>4</v>
      </c>
      <c r="F1171" s="23" t="n">
        <v>0</v>
      </c>
      <c r="G1171" s="24">
        <f>TEXT(B1171,"mmm")</f>
        <v/>
      </c>
      <c r="H1171" s="24">
        <f>HLOOKUP(C1171,Lookups!$H$4:$K$5,2,FALSE)</f>
        <v/>
      </c>
      <c r="I1171" s="24">
        <f>VLOOKUP(D1171,Lookups!$A$5:$E$10,2,FALSE)</f>
        <v/>
      </c>
      <c r="J1171" s="24">
        <f>VLOOKUP(D1171,Lookups!$A$5:$E$10,3,FALSE)</f>
        <v/>
      </c>
      <c r="K1171" s="25">
        <f>VLOOKUP(D1171,Lookups!$A$5:$E$10,4,FALSE)</f>
        <v/>
      </c>
      <c r="L1171" s="25">
        <f>E1171*K1171*(1-F1171)</f>
        <v/>
      </c>
      <c r="M1171" s="25">
        <f>L1171*VLOOKUP(D1171,Lookups!$A$5:$E$10,5,FALSE)</f>
        <v/>
      </c>
    </row>
    <row r="1172">
      <c r="A1172" s="21" t="inlineStr">
        <is>
          <t>INV-10643</t>
        </is>
      </c>
      <c r="B1172" s="22" t="n">
        <v>46013</v>
      </c>
      <c r="C1172" s="21" t="inlineStr">
        <is>
          <t>R04</t>
        </is>
      </c>
      <c r="D1172" s="21" t="inlineStr">
        <is>
          <t>P200</t>
        </is>
      </c>
      <c r="E1172" s="21" t="n">
        <v>3</v>
      </c>
      <c r="F1172" s="23" t="n">
        <v>0</v>
      </c>
      <c r="G1172" s="24">
        <f>TEXT(B1172,"mmm")</f>
        <v/>
      </c>
      <c r="H1172" s="24">
        <f>HLOOKUP(C1172,Lookups!$H$4:$K$5,2,FALSE)</f>
        <v/>
      </c>
      <c r="I1172" s="24">
        <f>VLOOKUP(D1172,Lookups!$A$5:$E$10,2,FALSE)</f>
        <v/>
      </c>
      <c r="J1172" s="24">
        <f>VLOOKUP(D1172,Lookups!$A$5:$E$10,3,FALSE)</f>
        <v/>
      </c>
      <c r="K1172" s="25">
        <f>VLOOKUP(D1172,Lookups!$A$5:$E$10,4,FALSE)</f>
        <v/>
      </c>
      <c r="L1172" s="25">
        <f>E1172*K1172*(1-F1172)</f>
        <v/>
      </c>
      <c r="M1172" s="25">
        <f>L1172*VLOOKUP(D1172,Lookups!$A$5:$E$10,5,FALSE)</f>
        <v/>
      </c>
    </row>
    <row r="1173">
      <c r="A1173" s="21" t="inlineStr">
        <is>
          <t>INV-10951</t>
        </is>
      </c>
      <c r="B1173" s="22" t="n">
        <v>46013</v>
      </c>
      <c r="C1173" s="21" t="inlineStr">
        <is>
          <t>R02</t>
        </is>
      </c>
      <c r="D1173" s="21" t="inlineStr">
        <is>
          <t>P500</t>
        </is>
      </c>
      <c r="E1173" s="21" t="n">
        <v>19</v>
      </c>
      <c r="F1173" s="23" t="n">
        <v>0.05</v>
      </c>
      <c r="G1173" s="24">
        <f>TEXT(B1173,"mmm")</f>
        <v/>
      </c>
      <c r="H1173" s="24">
        <f>HLOOKUP(C1173,Lookups!$H$4:$K$5,2,FALSE)</f>
        <v/>
      </c>
      <c r="I1173" s="24">
        <f>VLOOKUP(D1173,Lookups!$A$5:$E$10,2,FALSE)</f>
        <v/>
      </c>
      <c r="J1173" s="24">
        <f>VLOOKUP(D1173,Lookups!$A$5:$E$10,3,FALSE)</f>
        <v/>
      </c>
      <c r="K1173" s="25">
        <f>VLOOKUP(D1173,Lookups!$A$5:$E$10,4,FALSE)</f>
        <v/>
      </c>
      <c r="L1173" s="25">
        <f>E1173*K1173*(1-F1173)</f>
        <v/>
      </c>
      <c r="M1173" s="25">
        <f>L1173*VLOOKUP(D1173,Lookups!$A$5:$E$10,5,FALSE)</f>
        <v/>
      </c>
    </row>
    <row r="1174">
      <c r="A1174" s="21" t="inlineStr">
        <is>
          <t>INV-11023</t>
        </is>
      </c>
      <c r="B1174" s="22" t="n">
        <v>46013</v>
      </c>
      <c r="C1174" s="21" t="inlineStr">
        <is>
          <t>R04</t>
        </is>
      </c>
      <c r="D1174" s="21" t="inlineStr">
        <is>
          <t>P400</t>
        </is>
      </c>
      <c r="E1174" s="21" t="n">
        <v>19</v>
      </c>
      <c r="F1174" s="23" t="n">
        <v>0.1</v>
      </c>
      <c r="G1174" s="24">
        <f>TEXT(B1174,"mmm")</f>
        <v/>
      </c>
      <c r="H1174" s="24">
        <f>HLOOKUP(C1174,Lookups!$H$4:$K$5,2,FALSE)</f>
        <v/>
      </c>
      <c r="I1174" s="24">
        <f>VLOOKUP(D1174,Lookups!$A$5:$E$10,2,FALSE)</f>
        <v/>
      </c>
      <c r="J1174" s="24">
        <f>VLOOKUP(D1174,Lookups!$A$5:$E$10,3,FALSE)</f>
        <v/>
      </c>
      <c r="K1174" s="25">
        <f>VLOOKUP(D1174,Lookups!$A$5:$E$10,4,FALSE)</f>
        <v/>
      </c>
      <c r="L1174" s="25">
        <f>E1174*K1174*(1-F1174)</f>
        <v/>
      </c>
      <c r="M1174" s="25">
        <f>L1174*VLOOKUP(D1174,Lookups!$A$5:$E$10,5,FALSE)</f>
        <v/>
      </c>
    </row>
    <row r="1175">
      <c r="A1175" s="21" t="inlineStr">
        <is>
          <t>INV-10096</t>
        </is>
      </c>
      <c r="B1175" s="22" t="n">
        <v>46014</v>
      </c>
      <c r="C1175" s="21" t="inlineStr">
        <is>
          <t>R02</t>
        </is>
      </c>
      <c r="D1175" s="21" t="inlineStr">
        <is>
          <t>P300</t>
        </is>
      </c>
      <c r="E1175" s="21" t="n">
        <v>7</v>
      </c>
      <c r="F1175" s="23" t="n">
        <v>0.1</v>
      </c>
      <c r="G1175" s="24">
        <f>TEXT(B1175,"mmm")</f>
        <v/>
      </c>
      <c r="H1175" s="24">
        <f>HLOOKUP(C1175,Lookups!$H$4:$K$5,2,FALSE)</f>
        <v/>
      </c>
      <c r="I1175" s="24">
        <f>VLOOKUP(D1175,Lookups!$A$5:$E$10,2,FALSE)</f>
        <v/>
      </c>
      <c r="J1175" s="24">
        <f>VLOOKUP(D1175,Lookups!$A$5:$E$10,3,FALSE)</f>
        <v/>
      </c>
      <c r="K1175" s="25">
        <f>VLOOKUP(D1175,Lookups!$A$5:$E$10,4,FALSE)</f>
        <v/>
      </c>
      <c r="L1175" s="25">
        <f>E1175*K1175*(1-F1175)</f>
        <v/>
      </c>
      <c r="M1175" s="25">
        <f>L1175*VLOOKUP(D1175,Lookups!$A$5:$E$10,5,FALSE)</f>
        <v/>
      </c>
    </row>
    <row r="1176">
      <c r="A1176" s="21" t="inlineStr">
        <is>
          <t>INV-10105</t>
        </is>
      </c>
      <c r="B1176" s="22" t="n">
        <v>46014</v>
      </c>
      <c r="C1176" s="21" t="inlineStr">
        <is>
          <t>R04</t>
        </is>
      </c>
      <c r="D1176" s="21" t="inlineStr">
        <is>
          <t>P400</t>
        </is>
      </c>
      <c r="E1176" s="21" t="n">
        <v>13</v>
      </c>
      <c r="F1176" s="23" t="n">
        <v>0</v>
      </c>
      <c r="G1176" s="24">
        <f>TEXT(B1176,"mmm")</f>
        <v/>
      </c>
      <c r="H1176" s="24">
        <f>HLOOKUP(C1176,Lookups!$H$4:$K$5,2,FALSE)</f>
        <v/>
      </c>
      <c r="I1176" s="24">
        <f>VLOOKUP(D1176,Lookups!$A$5:$E$10,2,FALSE)</f>
        <v/>
      </c>
      <c r="J1176" s="24">
        <f>VLOOKUP(D1176,Lookups!$A$5:$E$10,3,FALSE)</f>
        <v/>
      </c>
      <c r="K1176" s="25">
        <f>VLOOKUP(D1176,Lookups!$A$5:$E$10,4,FALSE)</f>
        <v/>
      </c>
      <c r="L1176" s="25">
        <f>E1176*K1176*(1-F1176)</f>
        <v/>
      </c>
      <c r="M1176" s="25">
        <f>L1176*VLOOKUP(D1176,Lookups!$A$5:$E$10,5,FALSE)</f>
        <v/>
      </c>
    </row>
    <row r="1177">
      <c r="A1177" s="21" t="inlineStr">
        <is>
          <t>INV-10861</t>
        </is>
      </c>
      <c r="B1177" s="22" t="n">
        <v>46014</v>
      </c>
      <c r="C1177" s="21" t="inlineStr">
        <is>
          <t>R01</t>
        </is>
      </c>
      <c r="D1177" s="21" t="inlineStr">
        <is>
          <t>P600</t>
        </is>
      </c>
      <c r="E1177" s="21" t="n">
        <v>6</v>
      </c>
      <c r="F1177" s="23" t="n">
        <v>0</v>
      </c>
      <c r="G1177" s="24">
        <f>TEXT(B1177,"mmm")</f>
        <v/>
      </c>
      <c r="H1177" s="24">
        <f>HLOOKUP(C1177,Lookups!$H$4:$K$5,2,FALSE)</f>
        <v/>
      </c>
      <c r="I1177" s="24">
        <f>VLOOKUP(D1177,Lookups!$A$5:$E$10,2,FALSE)</f>
        <v/>
      </c>
      <c r="J1177" s="24">
        <f>VLOOKUP(D1177,Lookups!$A$5:$E$10,3,FALSE)</f>
        <v/>
      </c>
      <c r="K1177" s="25">
        <f>VLOOKUP(D1177,Lookups!$A$5:$E$10,4,FALSE)</f>
        <v/>
      </c>
      <c r="L1177" s="25">
        <f>E1177*K1177*(1-F1177)</f>
        <v/>
      </c>
      <c r="M1177" s="25">
        <f>L1177*VLOOKUP(D1177,Lookups!$A$5:$E$10,5,FALSE)</f>
        <v/>
      </c>
    </row>
    <row r="1178">
      <c r="A1178" s="21" t="inlineStr">
        <is>
          <t>INV-11095</t>
        </is>
      </c>
      <c r="B1178" s="22" t="n">
        <v>46014</v>
      </c>
      <c r="C1178" s="21" t="inlineStr">
        <is>
          <t>R03</t>
        </is>
      </c>
      <c r="D1178" s="21" t="inlineStr">
        <is>
          <t>P100</t>
        </is>
      </c>
      <c r="E1178" s="21" t="n">
        <v>3</v>
      </c>
      <c r="F1178" s="23" t="n">
        <v>0</v>
      </c>
      <c r="G1178" s="24">
        <f>TEXT(B1178,"mmm")</f>
        <v/>
      </c>
      <c r="H1178" s="24">
        <f>HLOOKUP(C1178,Lookups!$H$4:$K$5,2,FALSE)</f>
        <v/>
      </c>
      <c r="I1178" s="24">
        <f>VLOOKUP(D1178,Lookups!$A$5:$E$10,2,FALSE)</f>
        <v/>
      </c>
      <c r="J1178" s="24">
        <f>VLOOKUP(D1178,Lookups!$A$5:$E$10,3,FALSE)</f>
        <v/>
      </c>
      <c r="K1178" s="25">
        <f>VLOOKUP(D1178,Lookups!$A$5:$E$10,4,FALSE)</f>
        <v/>
      </c>
      <c r="L1178" s="25">
        <f>E1178*K1178*(1-F1178)</f>
        <v/>
      </c>
      <c r="M1178" s="25">
        <f>L1178*VLOOKUP(D1178,Lookups!$A$5:$E$10,5,FALSE)</f>
        <v/>
      </c>
    </row>
    <row r="1179">
      <c r="A1179" s="21" t="inlineStr">
        <is>
          <t>INV-10007</t>
        </is>
      </c>
      <c r="B1179" s="22" t="n">
        <v>46015</v>
      </c>
      <c r="C1179" s="21" t="inlineStr">
        <is>
          <t>R03</t>
        </is>
      </c>
      <c r="D1179" s="21" t="inlineStr">
        <is>
          <t>P400</t>
        </is>
      </c>
      <c r="E1179" s="21" t="n">
        <v>9</v>
      </c>
      <c r="F1179" s="23" t="n">
        <v>0</v>
      </c>
      <c r="G1179" s="24">
        <f>TEXT(B1179,"mmm")</f>
        <v/>
      </c>
      <c r="H1179" s="24">
        <f>HLOOKUP(C1179,Lookups!$H$4:$K$5,2,FALSE)</f>
        <v/>
      </c>
      <c r="I1179" s="24">
        <f>VLOOKUP(D1179,Lookups!$A$5:$E$10,2,FALSE)</f>
        <v/>
      </c>
      <c r="J1179" s="24">
        <f>VLOOKUP(D1179,Lookups!$A$5:$E$10,3,FALSE)</f>
        <v/>
      </c>
      <c r="K1179" s="25">
        <f>VLOOKUP(D1179,Lookups!$A$5:$E$10,4,FALSE)</f>
        <v/>
      </c>
      <c r="L1179" s="25">
        <f>E1179*K1179*(1-F1179)</f>
        <v/>
      </c>
      <c r="M1179" s="25">
        <f>L1179*VLOOKUP(D1179,Lookups!$A$5:$E$10,5,FALSE)</f>
        <v/>
      </c>
    </row>
    <row r="1180">
      <c r="A1180" s="21" t="inlineStr">
        <is>
          <t>INV-10160</t>
        </is>
      </c>
      <c r="B1180" s="22" t="n">
        <v>46015</v>
      </c>
      <c r="C1180" s="21" t="inlineStr">
        <is>
          <t>R04</t>
        </is>
      </c>
      <c r="D1180" s="21" t="inlineStr">
        <is>
          <t>P200</t>
        </is>
      </c>
      <c r="E1180" s="21" t="n">
        <v>4</v>
      </c>
      <c r="F1180" s="23" t="n">
        <v>0</v>
      </c>
      <c r="G1180" s="24">
        <f>TEXT(B1180,"mmm")</f>
        <v/>
      </c>
      <c r="H1180" s="24">
        <f>HLOOKUP(C1180,Lookups!$H$4:$K$5,2,FALSE)</f>
        <v/>
      </c>
      <c r="I1180" s="24">
        <f>VLOOKUP(D1180,Lookups!$A$5:$E$10,2,FALSE)</f>
        <v/>
      </c>
      <c r="J1180" s="24">
        <f>VLOOKUP(D1180,Lookups!$A$5:$E$10,3,FALSE)</f>
        <v/>
      </c>
      <c r="K1180" s="25">
        <f>VLOOKUP(D1180,Lookups!$A$5:$E$10,4,FALSE)</f>
        <v/>
      </c>
      <c r="L1180" s="25">
        <f>E1180*K1180*(1-F1180)</f>
        <v/>
      </c>
      <c r="M1180" s="25">
        <f>L1180*VLOOKUP(D1180,Lookups!$A$5:$E$10,5,FALSE)</f>
        <v/>
      </c>
    </row>
    <row r="1181">
      <c r="A1181" s="21" t="inlineStr">
        <is>
          <t>INV-11041</t>
        </is>
      </c>
      <c r="B1181" s="22" t="n">
        <v>46015</v>
      </c>
      <c r="C1181" s="21" t="inlineStr">
        <is>
          <t>R04</t>
        </is>
      </c>
      <c r="D1181" s="21" t="inlineStr">
        <is>
          <t>P500</t>
        </is>
      </c>
      <c r="E1181" s="21" t="n">
        <v>11</v>
      </c>
      <c r="F1181" s="23" t="n">
        <v>0</v>
      </c>
      <c r="G1181" s="24">
        <f>TEXT(B1181,"mmm")</f>
        <v/>
      </c>
      <c r="H1181" s="24">
        <f>HLOOKUP(C1181,Lookups!$H$4:$K$5,2,FALSE)</f>
        <v/>
      </c>
      <c r="I1181" s="24">
        <f>VLOOKUP(D1181,Lookups!$A$5:$E$10,2,FALSE)</f>
        <v/>
      </c>
      <c r="J1181" s="24">
        <f>VLOOKUP(D1181,Lookups!$A$5:$E$10,3,FALSE)</f>
        <v/>
      </c>
      <c r="K1181" s="25">
        <f>VLOOKUP(D1181,Lookups!$A$5:$E$10,4,FALSE)</f>
        <v/>
      </c>
      <c r="L1181" s="25">
        <f>E1181*K1181*(1-F1181)</f>
        <v/>
      </c>
      <c r="M1181" s="25">
        <f>L1181*VLOOKUP(D1181,Lookups!$A$5:$E$10,5,FALSE)</f>
        <v/>
      </c>
    </row>
    <row r="1182">
      <c r="A1182" s="21" t="inlineStr">
        <is>
          <t>INV-10178</t>
        </is>
      </c>
      <c r="B1182" s="22" t="n">
        <v>46016</v>
      </c>
      <c r="C1182" s="21" t="inlineStr">
        <is>
          <t>R03</t>
        </is>
      </c>
      <c r="D1182" s="21" t="inlineStr">
        <is>
          <t>P400</t>
        </is>
      </c>
      <c r="E1182" s="21" t="n">
        <v>17</v>
      </c>
      <c r="F1182" s="23" t="n">
        <v>0.1</v>
      </c>
      <c r="G1182" s="24">
        <f>TEXT(B1182,"mmm")</f>
        <v/>
      </c>
      <c r="H1182" s="24">
        <f>HLOOKUP(C1182,Lookups!$H$4:$K$5,2,FALSE)</f>
        <v/>
      </c>
      <c r="I1182" s="24">
        <f>VLOOKUP(D1182,Lookups!$A$5:$E$10,2,FALSE)</f>
        <v/>
      </c>
      <c r="J1182" s="24">
        <f>VLOOKUP(D1182,Lookups!$A$5:$E$10,3,FALSE)</f>
        <v/>
      </c>
      <c r="K1182" s="25">
        <f>VLOOKUP(D1182,Lookups!$A$5:$E$10,4,FALSE)</f>
        <v/>
      </c>
      <c r="L1182" s="25">
        <f>E1182*K1182*(1-F1182)</f>
        <v/>
      </c>
      <c r="M1182" s="25">
        <f>L1182*VLOOKUP(D1182,Lookups!$A$5:$E$10,5,FALSE)</f>
        <v/>
      </c>
    </row>
    <row r="1183">
      <c r="A1183" s="21" t="inlineStr">
        <is>
          <t>INV-10226</t>
        </is>
      </c>
      <c r="B1183" s="22" t="n">
        <v>46016</v>
      </c>
      <c r="C1183" s="21" t="inlineStr">
        <is>
          <t>R01</t>
        </is>
      </c>
      <c r="D1183" s="21" t="inlineStr">
        <is>
          <t>P300</t>
        </is>
      </c>
      <c r="E1183" s="21" t="n">
        <v>22</v>
      </c>
      <c r="F1183" s="23" t="n">
        <v>0.1</v>
      </c>
      <c r="G1183" s="24">
        <f>TEXT(B1183,"mmm")</f>
        <v/>
      </c>
      <c r="H1183" s="24">
        <f>HLOOKUP(C1183,Lookups!$H$4:$K$5,2,FALSE)</f>
        <v/>
      </c>
      <c r="I1183" s="24">
        <f>VLOOKUP(D1183,Lookups!$A$5:$E$10,2,FALSE)</f>
        <v/>
      </c>
      <c r="J1183" s="24">
        <f>VLOOKUP(D1183,Lookups!$A$5:$E$10,3,FALSE)</f>
        <v/>
      </c>
      <c r="K1183" s="25">
        <f>VLOOKUP(D1183,Lookups!$A$5:$E$10,4,FALSE)</f>
        <v/>
      </c>
      <c r="L1183" s="25">
        <f>E1183*K1183*(1-F1183)</f>
        <v/>
      </c>
      <c r="M1183" s="25">
        <f>L1183*VLOOKUP(D1183,Lookups!$A$5:$E$10,5,FALSE)</f>
        <v/>
      </c>
    </row>
    <row r="1184">
      <c r="A1184" s="21" t="inlineStr">
        <is>
          <t>INV-10935</t>
        </is>
      </c>
      <c r="B1184" s="22" t="n">
        <v>46016</v>
      </c>
      <c r="C1184" s="21" t="inlineStr">
        <is>
          <t>R03</t>
        </is>
      </c>
      <c r="D1184" s="21" t="inlineStr">
        <is>
          <t>P100</t>
        </is>
      </c>
      <c r="E1184" s="21" t="n">
        <v>17</v>
      </c>
      <c r="F1184" s="23" t="n">
        <v>0</v>
      </c>
      <c r="G1184" s="24">
        <f>TEXT(B1184,"mmm")</f>
        <v/>
      </c>
      <c r="H1184" s="24">
        <f>HLOOKUP(C1184,Lookups!$H$4:$K$5,2,FALSE)</f>
        <v/>
      </c>
      <c r="I1184" s="24">
        <f>VLOOKUP(D1184,Lookups!$A$5:$E$10,2,FALSE)</f>
        <v/>
      </c>
      <c r="J1184" s="24">
        <f>VLOOKUP(D1184,Lookups!$A$5:$E$10,3,FALSE)</f>
        <v/>
      </c>
      <c r="K1184" s="25">
        <f>VLOOKUP(D1184,Lookups!$A$5:$E$10,4,FALSE)</f>
        <v/>
      </c>
      <c r="L1184" s="25">
        <f>E1184*K1184*(1-F1184)</f>
        <v/>
      </c>
      <c r="M1184" s="25">
        <f>L1184*VLOOKUP(D1184,Lookups!$A$5:$E$10,5,FALSE)</f>
        <v/>
      </c>
    </row>
    <row r="1185">
      <c r="A1185" s="21" t="inlineStr">
        <is>
          <t>INV-11028</t>
        </is>
      </c>
      <c r="B1185" s="22" t="n">
        <v>46016</v>
      </c>
      <c r="C1185" s="21" t="inlineStr">
        <is>
          <t>R02</t>
        </is>
      </c>
      <c r="D1185" s="21" t="inlineStr">
        <is>
          <t>P300</t>
        </is>
      </c>
      <c r="E1185" s="21" t="n">
        <v>10</v>
      </c>
      <c r="F1185" s="23" t="n">
        <v>0</v>
      </c>
      <c r="G1185" s="24">
        <f>TEXT(B1185,"mmm")</f>
        <v/>
      </c>
      <c r="H1185" s="24">
        <f>HLOOKUP(C1185,Lookups!$H$4:$K$5,2,FALSE)</f>
        <v/>
      </c>
      <c r="I1185" s="24">
        <f>VLOOKUP(D1185,Lookups!$A$5:$E$10,2,FALSE)</f>
        <v/>
      </c>
      <c r="J1185" s="24">
        <f>VLOOKUP(D1185,Lookups!$A$5:$E$10,3,FALSE)</f>
        <v/>
      </c>
      <c r="K1185" s="25">
        <f>VLOOKUP(D1185,Lookups!$A$5:$E$10,4,FALSE)</f>
        <v/>
      </c>
      <c r="L1185" s="25">
        <f>E1185*K1185*(1-F1185)</f>
        <v/>
      </c>
      <c r="M1185" s="25">
        <f>L1185*VLOOKUP(D1185,Lookups!$A$5:$E$10,5,FALSE)</f>
        <v/>
      </c>
    </row>
    <row r="1186">
      <c r="A1186" s="21" t="inlineStr">
        <is>
          <t>INV-10173</t>
        </is>
      </c>
      <c r="B1186" s="22" t="n">
        <v>46017</v>
      </c>
      <c r="C1186" s="21" t="inlineStr">
        <is>
          <t>R01</t>
        </is>
      </c>
      <c r="D1186" s="21" t="inlineStr">
        <is>
          <t>P400</t>
        </is>
      </c>
      <c r="E1186" s="21" t="n">
        <v>22</v>
      </c>
      <c r="F1186" s="23" t="n">
        <v>0</v>
      </c>
      <c r="G1186" s="24">
        <f>TEXT(B1186,"mmm")</f>
        <v/>
      </c>
      <c r="H1186" s="24">
        <f>HLOOKUP(C1186,Lookups!$H$4:$K$5,2,FALSE)</f>
        <v/>
      </c>
      <c r="I1186" s="24">
        <f>VLOOKUP(D1186,Lookups!$A$5:$E$10,2,FALSE)</f>
        <v/>
      </c>
      <c r="J1186" s="24">
        <f>VLOOKUP(D1186,Lookups!$A$5:$E$10,3,FALSE)</f>
        <v/>
      </c>
      <c r="K1186" s="25">
        <f>VLOOKUP(D1186,Lookups!$A$5:$E$10,4,FALSE)</f>
        <v/>
      </c>
      <c r="L1186" s="25">
        <f>E1186*K1186*(1-F1186)</f>
        <v/>
      </c>
      <c r="M1186" s="25">
        <f>L1186*VLOOKUP(D1186,Lookups!$A$5:$E$10,5,FALSE)</f>
        <v/>
      </c>
    </row>
    <row r="1187">
      <c r="A1187" s="21" t="inlineStr">
        <is>
          <t>INV-10536</t>
        </is>
      </c>
      <c r="B1187" s="22" t="n">
        <v>46017</v>
      </c>
      <c r="C1187" s="21" t="inlineStr">
        <is>
          <t>R01</t>
        </is>
      </c>
      <c r="D1187" s="21" t="inlineStr">
        <is>
          <t>P200</t>
        </is>
      </c>
      <c r="E1187" s="21" t="n">
        <v>16</v>
      </c>
      <c r="F1187" s="23" t="n">
        <v>0.1</v>
      </c>
      <c r="G1187" s="24">
        <f>TEXT(B1187,"mmm")</f>
        <v/>
      </c>
      <c r="H1187" s="24">
        <f>HLOOKUP(C1187,Lookups!$H$4:$K$5,2,FALSE)</f>
        <v/>
      </c>
      <c r="I1187" s="24">
        <f>VLOOKUP(D1187,Lookups!$A$5:$E$10,2,FALSE)</f>
        <v/>
      </c>
      <c r="J1187" s="24">
        <f>VLOOKUP(D1187,Lookups!$A$5:$E$10,3,FALSE)</f>
        <v/>
      </c>
      <c r="K1187" s="25">
        <f>VLOOKUP(D1187,Lookups!$A$5:$E$10,4,FALSE)</f>
        <v/>
      </c>
      <c r="L1187" s="25">
        <f>E1187*K1187*(1-F1187)</f>
        <v/>
      </c>
      <c r="M1187" s="25">
        <f>L1187*VLOOKUP(D1187,Lookups!$A$5:$E$10,5,FALSE)</f>
        <v/>
      </c>
    </row>
    <row r="1188">
      <c r="A1188" s="21" t="inlineStr">
        <is>
          <t>INV-10623</t>
        </is>
      </c>
      <c r="B1188" s="22" t="n">
        <v>46017</v>
      </c>
      <c r="C1188" s="21" t="inlineStr">
        <is>
          <t>R02</t>
        </is>
      </c>
      <c r="D1188" s="21" t="inlineStr">
        <is>
          <t>P200</t>
        </is>
      </c>
      <c r="E1188" s="21" t="n">
        <v>5</v>
      </c>
      <c r="F1188" s="23" t="n">
        <v>0.05</v>
      </c>
      <c r="G1188" s="24">
        <f>TEXT(B1188,"mmm")</f>
        <v/>
      </c>
      <c r="H1188" s="24">
        <f>HLOOKUP(C1188,Lookups!$H$4:$K$5,2,FALSE)</f>
        <v/>
      </c>
      <c r="I1188" s="24">
        <f>VLOOKUP(D1188,Lookups!$A$5:$E$10,2,FALSE)</f>
        <v/>
      </c>
      <c r="J1188" s="24">
        <f>VLOOKUP(D1188,Lookups!$A$5:$E$10,3,FALSE)</f>
        <v/>
      </c>
      <c r="K1188" s="25">
        <f>VLOOKUP(D1188,Lookups!$A$5:$E$10,4,FALSE)</f>
        <v/>
      </c>
      <c r="L1188" s="25">
        <f>E1188*K1188*(1-F1188)</f>
        <v/>
      </c>
      <c r="M1188" s="25">
        <f>L1188*VLOOKUP(D1188,Lookups!$A$5:$E$10,5,FALSE)</f>
        <v/>
      </c>
    </row>
    <row r="1189">
      <c r="A1189" s="21" t="inlineStr">
        <is>
          <t>INV-10738</t>
        </is>
      </c>
      <c r="B1189" s="22" t="n">
        <v>46017</v>
      </c>
      <c r="C1189" s="21" t="inlineStr">
        <is>
          <t>R04</t>
        </is>
      </c>
      <c r="D1189" s="21" t="inlineStr">
        <is>
          <t>P500</t>
        </is>
      </c>
      <c r="E1189" s="21" t="n">
        <v>25</v>
      </c>
      <c r="F1189" s="23" t="n">
        <v>0</v>
      </c>
      <c r="G1189" s="24">
        <f>TEXT(B1189,"mmm")</f>
        <v/>
      </c>
      <c r="H1189" s="24">
        <f>HLOOKUP(C1189,Lookups!$H$4:$K$5,2,FALSE)</f>
        <v/>
      </c>
      <c r="I1189" s="24">
        <f>VLOOKUP(D1189,Lookups!$A$5:$E$10,2,FALSE)</f>
        <v/>
      </c>
      <c r="J1189" s="24">
        <f>VLOOKUP(D1189,Lookups!$A$5:$E$10,3,FALSE)</f>
        <v/>
      </c>
      <c r="K1189" s="25">
        <f>VLOOKUP(D1189,Lookups!$A$5:$E$10,4,FALSE)</f>
        <v/>
      </c>
      <c r="L1189" s="25">
        <f>E1189*K1189*(1-F1189)</f>
        <v/>
      </c>
      <c r="M1189" s="25">
        <f>L1189*VLOOKUP(D1189,Lookups!$A$5:$E$10,5,FALSE)</f>
        <v/>
      </c>
    </row>
    <row r="1190">
      <c r="A1190" s="21" t="inlineStr">
        <is>
          <t>INV-10894</t>
        </is>
      </c>
      <c r="B1190" s="22" t="n">
        <v>46017</v>
      </c>
      <c r="C1190" s="21" t="inlineStr">
        <is>
          <t>R03</t>
        </is>
      </c>
      <c r="D1190" s="21" t="inlineStr">
        <is>
          <t>P500</t>
        </is>
      </c>
      <c r="E1190" s="21" t="n">
        <v>23</v>
      </c>
      <c r="F1190" s="23" t="n">
        <v>0</v>
      </c>
      <c r="G1190" s="24">
        <f>TEXT(B1190,"mmm")</f>
        <v/>
      </c>
      <c r="H1190" s="24">
        <f>HLOOKUP(C1190,Lookups!$H$4:$K$5,2,FALSE)</f>
        <v/>
      </c>
      <c r="I1190" s="24">
        <f>VLOOKUP(D1190,Lookups!$A$5:$E$10,2,FALSE)</f>
        <v/>
      </c>
      <c r="J1190" s="24">
        <f>VLOOKUP(D1190,Lookups!$A$5:$E$10,3,FALSE)</f>
        <v/>
      </c>
      <c r="K1190" s="25">
        <f>VLOOKUP(D1190,Lookups!$A$5:$E$10,4,FALSE)</f>
        <v/>
      </c>
      <c r="L1190" s="25">
        <f>E1190*K1190*(1-F1190)</f>
        <v/>
      </c>
      <c r="M1190" s="25">
        <f>L1190*VLOOKUP(D1190,Lookups!$A$5:$E$10,5,FALSE)</f>
        <v/>
      </c>
    </row>
    <row r="1191">
      <c r="A1191" s="21" t="inlineStr">
        <is>
          <t>INV-11110</t>
        </is>
      </c>
      <c r="B1191" s="22" t="n">
        <v>46017</v>
      </c>
      <c r="C1191" s="21" t="inlineStr">
        <is>
          <t>R01</t>
        </is>
      </c>
      <c r="D1191" s="21" t="inlineStr">
        <is>
          <t>P500</t>
        </is>
      </c>
      <c r="E1191" s="21" t="n">
        <v>5</v>
      </c>
      <c r="F1191" s="23" t="n">
        <v>0.1</v>
      </c>
      <c r="G1191" s="24">
        <f>TEXT(B1191,"mmm")</f>
        <v/>
      </c>
      <c r="H1191" s="24">
        <f>HLOOKUP(C1191,Lookups!$H$4:$K$5,2,FALSE)</f>
        <v/>
      </c>
      <c r="I1191" s="24">
        <f>VLOOKUP(D1191,Lookups!$A$5:$E$10,2,FALSE)</f>
        <v/>
      </c>
      <c r="J1191" s="24">
        <f>VLOOKUP(D1191,Lookups!$A$5:$E$10,3,FALSE)</f>
        <v/>
      </c>
      <c r="K1191" s="25">
        <f>VLOOKUP(D1191,Lookups!$A$5:$E$10,4,FALSE)</f>
        <v/>
      </c>
      <c r="L1191" s="25">
        <f>E1191*K1191*(1-F1191)</f>
        <v/>
      </c>
      <c r="M1191" s="25">
        <f>L1191*VLOOKUP(D1191,Lookups!$A$5:$E$10,5,FALSE)</f>
        <v/>
      </c>
    </row>
    <row r="1192">
      <c r="A1192" s="21" t="inlineStr">
        <is>
          <t>INV-11136</t>
        </is>
      </c>
      <c r="B1192" s="22" t="n">
        <v>46017</v>
      </c>
      <c r="C1192" s="21" t="inlineStr">
        <is>
          <t>R04</t>
        </is>
      </c>
      <c r="D1192" s="21" t="inlineStr">
        <is>
          <t>P600</t>
        </is>
      </c>
      <c r="E1192" s="21" t="n">
        <v>4</v>
      </c>
      <c r="F1192" s="23" t="n">
        <v>0</v>
      </c>
      <c r="G1192" s="24">
        <f>TEXT(B1192,"mmm")</f>
        <v/>
      </c>
      <c r="H1192" s="24">
        <f>HLOOKUP(C1192,Lookups!$H$4:$K$5,2,FALSE)</f>
        <v/>
      </c>
      <c r="I1192" s="24">
        <f>VLOOKUP(D1192,Lookups!$A$5:$E$10,2,FALSE)</f>
        <v/>
      </c>
      <c r="J1192" s="24">
        <f>VLOOKUP(D1192,Lookups!$A$5:$E$10,3,FALSE)</f>
        <v/>
      </c>
      <c r="K1192" s="25">
        <f>VLOOKUP(D1192,Lookups!$A$5:$E$10,4,FALSE)</f>
        <v/>
      </c>
      <c r="L1192" s="25">
        <f>E1192*K1192*(1-F1192)</f>
        <v/>
      </c>
      <c r="M1192" s="25">
        <f>L1192*VLOOKUP(D1192,Lookups!$A$5:$E$10,5,FALSE)</f>
        <v/>
      </c>
    </row>
    <row r="1193">
      <c r="A1193" s="21" t="inlineStr">
        <is>
          <t>INV-10594</t>
        </is>
      </c>
      <c r="B1193" s="22" t="n">
        <v>46018</v>
      </c>
      <c r="C1193" s="21" t="inlineStr">
        <is>
          <t>R01</t>
        </is>
      </c>
      <c r="D1193" s="21" t="inlineStr">
        <is>
          <t>P100</t>
        </is>
      </c>
      <c r="E1193" s="21" t="n">
        <v>18</v>
      </c>
      <c r="F1193" s="23" t="n">
        <v>0</v>
      </c>
      <c r="G1193" s="24">
        <f>TEXT(B1193,"mmm")</f>
        <v/>
      </c>
      <c r="H1193" s="24">
        <f>HLOOKUP(C1193,Lookups!$H$4:$K$5,2,FALSE)</f>
        <v/>
      </c>
      <c r="I1193" s="24">
        <f>VLOOKUP(D1193,Lookups!$A$5:$E$10,2,FALSE)</f>
        <v/>
      </c>
      <c r="J1193" s="24">
        <f>VLOOKUP(D1193,Lookups!$A$5:$E$10,3,FALSE)</f>
        <v/>
      </c>
      <c r="K1193" s="25">
        <f>VLOOKUP(D1193,Lookups!$A$5:$E$10,4,FALSE)</f>
        <v/>
      </c>
      <c r="L1193" s="25">
        <f>E1193*K1193*(1-F1193)</f>
        <v/>
      </c>
      <c r="M1193" s="25">
        <f>L1193*VLOOKUP(D1193,Lookups!$A$5:$E$10,5,FALSE)</f>
        <v/>
      </c>
    </row>
    <row r="1194">
      <c r="A1194" s="21" t="inlineStr">
        <is>
          <t>INV-10640</t>
        </is>
      </c>
      <c r="B1194" s="22" t="n">
        <v>46018</v>
      </c>
      <c r="C1194" s="21" t="inlineStr">
        <is>
          <t>R01</t>
        </is>
      </c>
      <c r="D1194" s="21" t="inlineStr">
        <is>
          <t>P100</t>
        </is>
      </c>
      <c r="E1194" s="21" t="n">
        <v>7</v>
      </c>
      <c r="F1194" s="23" t="n">
        <v>0.1</v>
      </c>
      <c r="G1194" s="24">
        <f>TEXT(B1194,"mmm")</f>
        <v/>
      </c>
      <c r="H1194" s="24">
        <f>HLOOKUP(C1194,Lookups!$H$4:$K$5,2,FALSE)</f>
        <v/>
      </c>
      <c r="I1194" s="24">
        <f>VLOOKUP(D1194,Lookups!$A$5:$E$10,2,FALSE)</f>
        <v/>
      </c>
      <c r="J1194" s="24">
        <f>VLOOKUP(D1194,Lookups!$A$5:$E$10,3,FALSE)</f>
        <v/>
      </c>
      <c r="K1194" s="25">
        <f>VLOOKUP(D1194,Lookups!$A$5:$E$10,4,FALSE)</f>
        <v/>
      </c>
      <c r="L1194" s="25">
        <f>E1194*K1194*(1-F1194)</f>
        <v/>
      </c>
      <c r="M1194" s="25">
        <f>L1194*VLOOKUP(D1194,Lookups!$A$5:$E$10,5,FALSE)</f>
        <v/>
      </c>
    </row>
    <row r="1195">
      <c r="A1195" s="21" t="inlineStr">
        <is>
          <t>INV-10752</t>
        </is>
      </c>
      <c r="B1195" s="22" t="n">
        <v>46018</v>
      </c>
      <c r="C1195" s="21" t="inlineStr">
        <is>
          <t>R04</t>
        </is>
      </c>
      <c r="D1195" s="21" t="inlineStr">
        <is>
          <t>P100</t>
        </is>
      </c>
      <c r="E1195" s="21" t="n">
        <v>21</v>
      </c>
      <c r="F1195" s="23" t="n">
        <v>0</v>
      </c>
      <c r="G1195" s="24">
        <f>TEXT(B1195,"mmm")</f>
        <v/>
      </c>
      <c r="H1195" s="24">
        <f>HLOOKUP(C1195,Lookups!$H$4:$K$5,2,FALSE)</f>
        <v/>
      </c>
      <c r="I1195" s="24">
        <f>VLOOKUP(D1195,Lookups!$A$5:$E$10,2,FALSE)</f>
        <v/>
      </c>
      <c r="J1195" s="24">
        <f>VLOOKUP(D1195,Lookups!$A$5:$E$10,3,FALSE)</f>
        <v/>
      </c>
      <c r="K1195" s="25">
        <f>VLOOKUP(D1195,Lookups!$A$5:$E$10,4,FALSE)</f>
        <v/>
      </c>
      <c r="L1195" s="25">
        <f>E1195*K1195*(1-F1195)</f>
        <v/>
      </c>
      <c r="M1195" s="25">
        <f>L1195*VLOOKUP(D1195,Lookups!$A$5:$E$10,5,FALSE)</f>
        <v/>
      </c>
    </row>
    <row r="1196">
      <c r="A1196" s="21" t="inlineStr">
        <is>
          <t>INV-10346</t>
        </is>
      </c>
      <c r="B1196" s="22" t="n">
        <v>46019</v>
      </c>
      <c r="C1196" s="21" t="inlineStr">
        <is>
          <t>R04</t>
        </is>
      </c>
      <c r="D1196" s="21" t="inlineStr">
        <is>
          <t>P400</t>
        </is>
      </c>
      <c r="E1196" s="21" t="n">
        <v>20</v>
      </c>
      <c r="F1196" s="23" t="n">
        <v>0</v>
      </c>
      <c r="G1196" s="24">
        <f>TEXT(B1196,"mmm")</f>
        <v/>
      </c>
      <c r="H1196" s="24">
        <f>HLOOKUP(C1196,Lookups!$H$4:$K$5,2,FALSE)</f>
        <v/>
      </c>
      <c r="I1196" s="24">
        <f>VLOOKUP(D1196,Lookups!$A$5:$E$10,2,FALSE)</f>
        <v/>
      </c>
      <c r="J1196" s="24">
        <f>VLOOKUP(D1196,Lookups!$A$5:$E$10,3,FALSE)</f>
        <v/>
      </c>
      <c r="K1196" s="25">
        <f>VLOOKUP(D1196,Lookups!$A$5:$E$10,4,FALSE)</f>
        <v/>
      </c>
      <c r="L1196" s="25">
        <f>E1196*K1196*(1-F1196)</f>
        <v/>
      </c>
      <c r="M1196" s="25">
        <f>L1196*VLOOKUP(D1196,Lookups!$A$5:$E$10,5,FALSE)</f>
        <v/>
      </c>
    </row>
    <row r="1197">
      <c r="A1197" s="21" t="inlineStr">
        <is>
          <t>INV-10317</t>
        </is>
      </c>
      <c r="B1197" s="22" t="n">
        <v>46020</v>
      </c>
      <c r="C1197" s="21" t="inlineStr">
        <is>
          <t>R04</t>
        </is>
      </c>
      <c r="D1197" s="21" t="inlineStr">
        <is>
          <t>P400</t>
        </is>
      </c>
      <c r="E1197" s="21" t="n">
        <v>17</v>
      </c>
      <c r="F1197" s="23" t="n">
        <v>0</v>
      </c>
      <c r="G1197" s="24">
        <f>TEXT(B1197,"mmm")</f>
        <v/>
      </c>
      <c r="H1197" s="24">
        <f>HLOOKUP(C1197,Lookups!$H$4:$K$5,2,FALSE)</f>
        <v/>
      </c>
      <c r="I1197" s="24">
        <f>VLOOKUP(D1197,Lookups!$A$5:$E$10,2,FALSE)</f>
        <v/>
      </c>
      <c r="J1197" s="24">
        <f>VLOOKUP(D1197,Lookups!$A$5:$E$10,3,FALSE)</f>
        <v/>
      </c>
      <c r="K1197" s="25">
        <f>VLOOKUP(D1197,Lookups!$A$5:$E$10,4,FALSE)</f>
        <v/>
      </c>
      <c r="L1197" s="25">
        <f>E1197*K1197*(1-F1197)</f>
        <v/>
      </c>
      <c r="M1197" s="25">
        <f>L1197*VLOOKUP(D1197,Lookups!$A$5:$E$10,5,FALSE)</f>
        <v/>
      </c>
    </row>
    <row r="1198">
      <c r="A1198" s="21" t="inlineStr">
        <is>
          <t>INV-10386</t>
        </is>
      </c>
      <c r="B1198" s="22" t="n">
        <v>46021</v>
      </c>
      <c r="C1198" s="21" t="inlineStr">
        <is>
          <t>R03</t>
        </is>
      </c>
      <c r="D1198" s="21" t="inlineStr">
        <is>
          <t>P100</t>
        </is>
      </c>
      <c r="E1198" s="21" t="n">
        <v>10</v>
      </c>
      <c r="F1198" s="23" t="n">
        <v>0</v>
      </c>
      <c r="G1198" s="24">
        <f>TEXT(B1198,"mmm")</f>
        <v/>
      </c>
      <c r="H1198" s="24">
        <f>HLOOKUP(C1198,Lookups!$H$4:$K$5,2,FALSE)</f>
        <v/>
      </c>
      <c r="I1198" s="24">
        <f>VLOOKUP(D1198,Lookups!$A$5:$E$10,2,FALSE)</f>
        <v/>
      </c>
      <c r="J1198" s="24">
        <f>VLOOKUP(D1198,Lookups!$A$5:$E$10,3,FALSE)</f>
        <v/>
      </c>
      <c r="K1198" s="25">
        <f>VLOOKUP(D1198,Lookups!$A$5:$E$10,4,FALSE)</f>
        <v/>
      </c>
      <c r="L1198" s="25">
        <f>E1198*K1198*(1-F1198)</f>
        <v/>
      </c>
      <c r="M1198" s="25">
        <f>L1198*VLOOKUP(D1198,Lookups!$A$5:$E$10,5,FALSE)</f>
        <v/>
      </c>
    </row>
    <row r="1199">
      <c r="A1199" s="21" t="inlineStr">
        <is>
          <t>INV-10618</t>
        </is>
      </c>
      <c r="B1199" s="22" t="n">
        <v>46021</v>
      </c>
      <c r="C1199" s="21" t="inlineStr">
        <is>
          <t>R04</t>
        </is>
      </c>
      <c r="D1199" s="21" t="inlineStr">
        <is>
          <t>P500</t>
        </is>
      </c>
      <c r="E1199" s="21" t="n">
        <v>6</v>
      </c>
      <c r="F1199" s="23" t="n">
        <v>0</v>
      </c>
      <c r="G1199" s="24">
        <f>TEXT(B1199,"mmm")</f>
        <v/>
      </c>
      <c r="H1199" s="24">
        <f>HLOOKUP(C1199,Lookups!$H$4:$K$5,2,FALSE)</f>
        <v/>
      </c>
      <c r="I1199" s="24">
        <f>VLOOKUP(D1199,Lookups!$A$5:$E$10,2,FALSE)</f>
        <v/>
      </c>
      <c r="J1199" s="24">
        <f>VLOOKUP(D1199,Lookups!$A$5:$E$10,3,FALSE)</f>
        <v/>
      </c>
      <c r="K1199" s="25">
        <f>VLOOKUP(D1199,Lookups!$A$5:$E$10,4,FALSE)</f>
        <v/>
      </c>
      <c r="L1199" s="25">
        <f>E1199*K1199*(1-F1199)</f>
        <v/>
      </c>
      <c r="M1199" s="25">
        <f>L1199*VLOOKUP(D1199,Lookups!$A$5:$E$10,5,FALSE)</f>
        <v/>
      </c>
    </row>
    <row r="1200">
      <c r="A1200" s="21" t="inlineStr">
        <is>
          <t>INV-10897</t>
        </is>
      </c>
      <c r="B1200" s="22" t="n">
        <v>46021</v>
      </c>
      <c r="C1200" s="21" t="inlineStr">
        <is>
          <t>R03</t>
        </is>
      </c>
      <c r="D1200" s="21" t="inlineStr">
        <is>
          <t>P100</t>
        </is>
      </c>
      <c r="E1200" s="21" t="n">
        <v>18</v>
      </c>
      <c r="F1200" s="23" t="n">
        <v>0.1</v>
      </c>
      <c r="G1200" s="24">
        <f>TEXT(B1200,"mmm")</f>
        <v/>
      </c>
      <c r="H1200" s="24">
        <f>HLOOKUP(C1200,Lookups!$H$4:$K$5,2,FALSE)</f>
        <v/>
      </c>
      <c r="I1200" s="24">
        <f>VLOOKUP(D1200,Lookups!$A$5:$E$10,2,FALSE)</f>
        <v/>
      </c>
      <c r="J1200" s="24">
        <f>VLOOKUP(D1200,Lookups!$A$5:$E$10,3,FALSE)</f>
        <v/>
      </c>
      <c r="K1200" s="25">
        <f>VLOOKUP(D1200,Lookups!$A$5:$E$10,4,FALSE)</f>
        <v/>
      </c>
      <c r="L1200" s="25">
        <f>E1200*K1200*(1-F1200)</f>
        <v/>
      </c>
      <c r="M1200" s="25">
        <f>L1200*VLOOKUP(D1200,Lookups!$A$5:$E$10,5,FALSE)</f>
        <v/>
      </c>
    </row>
    <row r="1201">
      <c r="A1201" s="21" t="inlineStr">
        <is>
          <t>INV-10913</t>
        </is>
      </c>
      <c r="B1201" s="22" t="n">
        <v>46021</v>
      </c>
      <c r="C1201" s="21" t="inlineStr">
        <is>
          <t>R01</t>
        </is>
      </c>
      <c r="D1201" s="21" t="inlineStr">
        <is>
          <t>P200</t>
        </is>
      </c>
      <c r="E1201" s="21" t="n">
        <v>5</v>
      </c>
      <c r="F1201" s="23" t="n">
        <v>0.05</v>
      </c>
      <c r="G1201" s="24">
        <f>TEXT(B1201,"mmm")</f>
        <v/>
      </c>
      <c r="H1201" s="24">
        <f>HLOOKUP(C1201,Lookups!$H$4:$K$5,2,FALSE)</f>
        <v/>
      </c>
      <c r="I1201" s="24">
        <f>VLOOKUP(D1201,Lookups!$A$5:$E$10,2,FALSE)</f>
        <v/>
      </c>
      <c r="J1201" s="24">
        <f>VLOOKUP(D1201,Lookups!$A$5:$E$10,3,FALSE)</f>
        <v/>
      </c>
      <c r="K1201" s="25">
        <f>VLOOKUP(D1201,Lookups!$A$5:$E$10,4,FALSE)</f>
        <v/>
      </c>
      <c r="L1201" s="25">
        <f>E1201*K1201*(1-F1201)</f>
        <v/>
      </c>
      <c r="M1201" s="25">
        <f>L1201*VLOOKUP(D1201,Lookups!$A$5:$E$10,5,FALSE)</f>
        <v/>
      </c>
    </row>
    <row r="1202">
      <c r="A1202" s="21" t="inlineStr">
        <is>
          <t>INV-10387</t>
        </is>
      </c>
      <c r="B1202" s="22" t="n">
        <v>46022</v>
      </c>
      <c r="C1202" s="21" t="inlineStr">
        <is>
          <t>R02</t>
        </is>
      </c>
      <c r="D1202" s="21" t="inlineStr">
        <is>
          <t>P600</t>
        </is>
      </c>
      <c r="E1202" s="21" t="n">
        <v>12</v>
      </c>
      <c r="F1202" s="23" t="n">
        <v>0</v>
      </c>
      <c r="G1202" s="24">
        <f>TEXT(B1202,"mmm")</f>
        <v/>
      </c>
      <c r="H1202" s="24">
        <f>HLOOKUP(C1202,Lookups!$H$4:$K$5,2,FALSE)</f>
        <v/>
      </c>
      <c r="I1202" s="24">
        <f>VLOOKUP(D1202,Lookups!$A$5:$E$10,2,FALSE)</f>
        <v/>
      </c>
      <c r="J1202" s="24">
        <f>VLOOKUP(D1202,Lookups!$A$5:$E$10,3,FALSE)</f>
        <v/>
      </c>
      <c r="K1202" s="25">
        <f>VLOOKUP(D1202,Lookups!$A$5:$E$10,4,FALSE)</f>
        <v/>
      </c>
      <c r="L1202" s="25">
        <f>E1202*K1202*(1-F1202)</f>
        <v/>
      </c>
      <c r="M1202" s="25">
        <f>L1202*VLOOKUP(D1202,Lookups!$A$5:$E$10,5,FALSE)</f>
        <v/>
      </c>
    </row>
    <row r="1203">
      <c r="A1203" s="21" t="inlineStr">
        <is>
          <t>INV-10541</t>
        </is>
      </c>
      <c r="B1203" s="22" t="n">
        <v>46022</v>
      </c>
      <c r="C1203" s="21" t="inlineStr">
        <is>
          <t>R01</t>
        </is>
      </c>
      <c r="D1203" s="21" t="inlineStr">
        <is>
          <t>P400</t>
        </is>
      </c>
      <c r="E1203" s="21" t="n">
        <v>10</v>
      </c>
      <c r="F1203" s="23" t="n">
        <v>0</v>
      </c>
      <c r="G1203" s="24">
        <f>TEXT(B1203,"mmm")</f>
        <v/>
      </c>
      <c r="H1203" s="24">
        <f>HLOOKUP(C1203,Lookups!$H$4:$K$5,2,FALSE)</f>
        <v/>
      </c>
      <c r="I1203" s="24">
        <f>VLOOKUP(D1203,Lookups!$A$5:$E$10,2,FALSE)</f>
        <v/>
      </c>
      <c r="J1203" s="24">
        <f>VLOOKUP(D1203,Lookups!$A$5:$E$10,3,FALSE)</f>
        <v/>
      </c>
      <c r="K1203" s="25">
        <f>VLOOKUP(D1203,Lookups!$A$5:$E$10,4,FALSE)</f>
        <v/>
      </c>
      <c r="L1203" s="25">
        <f>E1203*K1203*(1-F1203)</f>
        <v/>
      </c>
      <c r="M1203" s="25">
        <f>L1203*VLOOKUP(D1203,Lookups!$A$5:$E$10,5,FALSE)</f>
        <v/>
      </c>
    </row>
    <row r="1204">
      <c r="A1204" s="21" t="inlineStr">
        <is>
          <t>INV-10802</t>
        </is>
      </c>
      <c r="B1204" s="22" t="n">
        <v>46022</v>
      </c>
      <c r="C1204" s="21" t="inlineStr">
        <is>
          <t>R03</t>
        </is>
      </c>
      <c r="D1204" s="21" t="inlineStr">
        <is>
          <t>P600</t>
        </is>
      </c>
      <c r="E1204" s="21" t="n">
        <v>14</v>
      </c>
      <c r="F1204" s="23" t="n">
        <v>0.1</v>
      </c>
      <c r="G1204" s="24">
        <f>TEXT(B1204,"mmm")</f>
        <v/>
      </c>
      <c r="H1204" s="24">
        <f>HLOOKUP(C1204,Lookups!$H$4:$K$5,2,FALSE)</f>
        <v/>
      </c>
      <c r="I1204" s="24">
        <f>VLOOKUP(D1204,Lookups!$A$5:$E$10,2,FALSE)</f>
        <v/>
      </c>
      <c r="J1204" s="24">
        <f>VLOOKUP(D1204,Lookups!$A$5:$E$10,3,FALSE)</f>
        <v/>
      </c>
      <c r="K1204" s="25">
        <f>VLOOKUP(D1204,Lookups!$A$5:$E$10,4,FALSE)</f>
        <v/>
      </c>
      <c r="L1204" s="25">
        <f>E1204*K1204*(1-F1204)</f>
        <v/>
      </c>
      <c r="M1204" s="25">
        <f>L1204*VLOOKUP(D1204,Lookups!$A$5:$E$10,5,FALSE)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F5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14" customWidth="1" min="5" max="5"/>
    <col width="8" customWidth="1" min="6" max="6"/>
  </cols>
  <sheetData>
    <row r="1">
      <c r="A1" s="1" t="inlineStr">
        <is>
          <t>Source 2: General Ledger Revenue Postings</t>
        </is>
      </c>
    </row>
    <row r="2">
      <c r="A2" s="2" t="inlineStr">
        <is>
          <t>Month-end journal entries from finance system</t>
        </is>
      </c>
    </row>
    <row r="4">
      <c r="A4" s="7" t="inlineStr">
        <is>
          <t>Journal ID</t>
        </is>
      </c>
      <c r="B4" s="7" t="inlineStr">
        <is>
          <t>Posting Date</t>
        </is>
      </c>
      <c r="C4" s="7" t="inlineStr">
        <is>
          <t>Region ID</t>
        </is>
      </c>
      <c r="D4" s="7" t="inlineStr">
        <is>
          <t>Account</t>
        </is>
      </c>
      <c r="E4" s="7" t="inlineStr">
        <is>
          <t>Amount ($)</t>
        </is>
      </c>
      <c r="F4" s="7" t="inlineStr">
        <is>
          <t>Month</t>
        </is>
      </c>
    </row>
    <row r="5">
      <c r="A5" s="21" t="inlineStr">
        <is>
          <t>JE-R01-01</t>
        </is>
      </c>
      <c r="B5" s="22" t="n">
        <v>45685</v>
      </c>
      <c r="C5" s="21" t="inlineStr">
        <is>
          <t>R01</t>
        </is>
      </c>
      <c r="D5" s="21" t="inlineStr">
        <is>
          <t>4000-Revenue</t>
        </is>
      </c>
      <c r="E5" s="26" t="n">
        <v>72841</v>
      </c>
      <c r="F5" s="24">
        <f>TEXT(B5,"mmm")</f>
        <v/>
      </c>
    </row>
    <row r="6">
      <c r="A6" s="21" t="inlineStr">
        <is>
          <t>JE-R01-02</t>
        </is>
      </c>
      <c r="B6" s="22" t="n">
        <v>45716</v>
      </c>
      <c r="C6" s="21" t="inlineStr">
        <is>
          <t>R01</t>
        </is>
      </c>
      <c r="D6" s="21" t="inlineStr">
        <is>
          <t>4000-Revenue</t>
        </is>
      </c>
      <c r="E6" s="26" t="n">
        <v>149958</v>
      </c>
      <c r="F6" s="24">
        <f>TEXT(B6,"mmm")</f>
        <v/>
      </c>
    </row>
    <row r="7">
      <c r="A7" s="21" t="inlineStr">
        <is>
          <t>JE-R01-03</t>
        </is>
      </c>
      <c r="B7" s="22" t="n">
        <v>45744</v>
      </c>
      <c r="C7" s="21" t="inlineStr">
        <is>
          <t>R01</t>
        </is>
      </c>
      <c r="D7" s="21" t="inlineStr">
        <is>
          <t>4000-Revenue</t>
        </is>
      </c>
      <c r="E7" s="26" t="n">
        <v>193256.5</v>
      </c>
      <c r="F7" s="24">
        <f>TEXT(B7,"mmm")</f>
        <v/>
      </c>
    </row>
    <row r="8">
      <c r="A8" s="21" t="inlineStr">
        <is>
          <t>JE-R01-04</t>
        </is>
      </c>
      <c r="B8" s="22" t="n">
        <v>45775</v>
      </c>
      <c r="C8" s="21" t="inlineStr">
        <is>
          <t>R01</t>
        </is>
      </c>
      <c r="D8" s="21" t="inlineStr">
        <is>
          <t>4000-Revenue</t>
        </is>
      </c>
      <c r="E8" s="26" t="n">
        <v>133263.5</v>
      </c>
      <c r="F8" s="24">
        <f>TEXT(B8,"mmm")</f>
        <v/>
      </c>
    </row>
    <row r="9">
      <c r="A9" s="21" t="inlineStr">
        <is>
          <t>JE-R01-05</t>
        </is>
      </c>
      <c r="B9" s="22" t="n">
        <v>45805</v>
      </c>
      <c r="C9" s="21" t="inlineStr">
        <is>
          <t>R01</t>
        </is>
      </c>
      <c r="D9" s="21" t="inlineStr">
        <is>
          <t>4000-Revenue</t>
        </is>
      </c>
      <c r="E9" s="26" t="n">
        <v>123942.32</v>
      </c>
      <c r="F9" s="24">
        <f>TEXT(B9,"mmm")</f>
        <v/>
      </c>
    </row>
    <row r="10">
      <c r="A10" s="21" t="inlineStr">
        <is>
          <t>JE-R01-06</t>
        </is>
      </c>
      <c r="B10" s="22" t="n">
        <v>45836</v>
      </c>
      <c r="C10" s="21" t="inlineStr">
        <is>
          <t>R01</t>
        </is>
      </c>
      <c r="D10" s="21" t="inlineStr">
        <is>
          <t>4000-Revenue</t>
        </is>
      </c>
      <c r="E10" s="26" t="n">
        <v>228720</v>
      </c>
      <c r="F10" s="24">
        <f>TEXT(B10,"mmm")</f>
        <v/>
      </c>
    </row>
    <row r="11">
      <c r="A11" s="21" t="inlineStr">
        <is>
          <t>JE-R01-07</t>
        </is>
      </c>
      <c r="B11" s="22" t="n">
        <v>45866</v>
      </c>
      <c r="C11" s="21" t="inlineStr">
        <is>
          <t>R01</t>
        </is>
      </c>
      <c r="D11" s="21" t="inlineStr">
        <is>
          <t>4000-Revenue</t>
        </is>
      </c>
      <c r="E11" s="26" t="n">
        <v>187469.93</v>
      </c>
      <c r="F11" s="24">
        <f>TEXT(B11,"mmm")</f>
        <v/>
      </c>
    </row>
    <row r="12">
      <c r="A12" s="21" t="inlineStr">
        <is>
          <t>JE-R01-08</t>
        </is>
      </c>
      <c r="B12" s="22" t="n">
        <v>45897</v>
      </c>
      <c r="C12" s="21" t="inlineStr">
        <is>
          <t>R01</t>
        </is>
      </c>
      <c r="D12" s="21" t="inlineStr">
        <is>
          <t>4000-Revenue</t>
        </is>
      </c>
      <c r="E12" s="26" t="n">
        <v>200102</v>
      </c>
      <c r="F12" s="24">
        <f>TEXT(B12,"mmm")</f>
        <v/>
      </c>
    </row>
    <row r="13">
      <c r="A13" s="21" t="inlineStr">
        <is>
          <t>JE-R01-09</t>
        </is>
      </c>
      <c r="B13" s="22" t="n">
        <v>45928</v>
      </c>
      <c r="C13" s="21" t="inlineStr">
        <is>
          <t>R01</t>
        </is>
      </c>
      <c r="D13" s="21" t="inlineStr">
        <is>
          <t>4000-Revenue</t>
        </is>
      </c>
      <c r="E13" s="26" t="n">
        <v>166111</v>
      </c>
      <c r="F13" s="24">
        <f>TEXT(B13,"mmm")</f>
        <v/>
      </c>
    </row>
    <row r="14">
      <c r="A14" s="21" t="inlineStr">
        <is>
          <t>JE-R01-10</t>
        </is>
      </c>
      <c r="B14" s="22" t="n">
        <v>45958</v>
      </c>
      <c r="C14" s="21" t="inlineStr">
        <is>
          <t>R01</t>
        </is>
      </c>
      <c r="D14" s="21" t="inlineStr">
        <is>
          <t>4000-Revenue</t>
        </is>
      </c>
      <c r="E14" s="26" t="n">
        <v>247464.5</v>
      </c>
      <c r="F14" s="24">
        <f>TEXT(B14,"mmm")</f>
        <v/>
      </c>
    </row>
    <row r="15">
      <c r="A15" s="21" t="inlineStr">
        <is>
          <t>JE-R01-11</t>
        </is>
      </c>
      <c r="B15" s="22" t="n">
        <v>45989</v>
      </c>
      <c r="C15" s="21" t="inlineStr">
        <is>
          <t>R01</t>
        </is>
      </c>
      <c r="D15" s="21" t="inlineStr">
        <is>
          <t>4000-Revenue</t>
        </is>
      </c>
      <c r="E15" s="26" t="n">
        <v>184219.5</v>
      </c>
      <c r="F15" s="24">
        <f>TEXT(B15,"mmm")</f>
        <v/>
      </c>
    </row>
    <row r="16">
      <c r="A16" s="21" t="inlineStr">
        <is>
          <t>JE-R01-12</t>
        </is>
      </c>
      <c r="B16" s="22" t="n">
        <v>46019</v>
      </c>
      <c r="C16" s="21" t="inlineStr">
        <is>
          <t>R01</t>
        </is>
      </c>
      <c r="D16" s="21" t="inlineStr">
        <is>
          <t>4000-Revenue</t>
        </is>
      </c>
      <c r="E16" s="26" t="n">
        <v>151975.5</v>
      </c>
      <c r="F16" s="24">
        <f>TEXT(B16,"mmm")</f>
        <v/>
      </c>
    </row>
    <row r="17">
      <c r="A17" s="21" t="inlineStr">
        <is>
          <t>JE-R02-01</t>
        </is>
      </c>
      <c r="B17" s="22" t="n">
        <v>45685</v>
      </c>
      <c r="C17" s="21" t="inlineStr">
        <is>
          <t>R02</t>
        </is>
      </c>
      <c r="D17" s="21" t="inlineStr">
        <is>
          <t>4000-Revenue</t>
        </is>
      </c>
      <c r="E17" s="26" t="n">
        <v>125590.5</v>
      </c>
      <c r="F17" s="24">
        <f>TEXT(B17,"mmm")</f>
        <v/>
      </c>
    </row>
    <row r="18">
      <c r="A18" s="21" t="inlineStr">
        <is>
          <t>JE-R02-02</t>
        </is>
      </c>
      <c r="B18" s="22" t="n">
        <v>45716</v>
      </c>
      <c r="C18" s="21" t="inlineStr">
        <is>
          <t>R02</t>
        </is>
      </c>
      <c r="D18" s="21" t="inlineStr">
        <is>
          <t>4000-Revenue</t>
        </is>
      </c>
      <c r="E18" s="26" t="n">
        <v>206922.89</v>
      </c>
      <c r="F18" s="24">
        <f>TEXT(B18,"mmm")</f>
        <v/>
      </c>
    </row>
    <row r="19">
      <c r="A19" s="21" t="inlineStr">
        <is>
          <t>JE-R02-03</t>
        </is>
      </c>
      <c r="B19" s="22" t="n">
        <v>45744</v>
      </c>
      <c r="C19" s="21" t="inlineStr">
        <is>
          <t>R02</t>
        </is>
      </c>
      <c r="D19" s="21" t="inlineStr">
        <is>
          <t>4000-Revenue</t>
        </is>
      </c>
      <c r="E19" s="26" t="n">
        <v>165908.5</v>
      </c>
      <c r="F19" s="24">
        <f>TEXT(B19,"mmm")</f>
        <v/>
      </c>
    </row>
    <row r="20">
      <c r="A20" s="21" t="inlineStr">
        <is>
          <t>JE-R02-04</t>
        </is>
      </c>
      <c r="B20" s="22" t="n">
        <v>45775</v>
      </c>
      <c r="C20" s="21" t="inlineStr">
        <is>
          <t>R02</t>
        </is>
      </c>
      <c r="D20" s="21" t="inlineStr">
        <is>
          <t>4000-Revenue</t>
        </is>
      </c>
      <c r="E20" s="26" t="n">
        <v>111815</v>
      </c>
      <c r="F20" s="24">
        <f>TEXT(B20,"mmm")</f>
        <v/>
      </c>
    </row>
    <row r="21">
      <c r="A21" s="21" t="inlineStr">
        <is>
          <t>JE-R02-05</t>
        </is>
      </c>
      <c r="B21" s="22" t="n">
        <v>45805</v>
      </c>
      <c r="C21" s="21" t="inlineStr">
        <is>
          <t>R02</t>
        </is>
      </c>
      <c r="D21" s="21" t="inlineStr">
        <is>
          <t>4000-Revenue</t>
        </is>
      </c>
      <c r="E21" s="26" t="n">
        <v>189700</v>
      </c>
      <c r="F21" s="24">
        <f>TEXT(B21,"mmm")</f>
        <v/>
      </c>
    </row>
    <row r="22">
      <c r="A22" s="21" t="inlineStr">
        <is>
          <t>JE-R02-06</t>
        </is>
      </c>
      <c r="B22" s="22" t="n">
        <v>45836</v>
      </c>
      <c r="C22" s="21" t="inlineStr">
        <is>
          <t>R02</t>
        </is>
      </c>
      <c r="D22" s="21" t="inlineStr">
        <is>
          <t>4000-Revenue</t>
        </is>
      </c>
      <c r="E22" s="26" t="n">
        <v>162110</v>
      </c>
      <c r="F22" s="24">
        <f>TEXT(B22,"mmm")</f>
        <v/>
      </c>
    </row>
    <row r="23">
      <c r="A23" s="21" t="inlineStr">
        <is>
          <t>JE-R02-07</t>
        </is>
      </c>
      <c r="B23" s="22" t="n">
        <v>45866</v>
      </c>
      <c r="C23" s="21" t="inlineStr">
        <is>
          <t>R02</t>
        </is>
      </c>
      <c r="D23" s="21" t="inlineStr">
        <is>
          <t>4000-Revenue</t>
        </is>
      </c>
      <c r="E23" s="26" t="n">
        <v>247833</v>
      </c>
      <c r="F23" s="24">
        <f>TEXT(B23,"mmm")</f>
        <v/>
      </c>
    </row>
    <row r="24">
      <c r="A24" s="21" t="inlineStr">
        <is>
          <t>JE-R02-08</t>
        </is>
      </c>
      <c r="B24" s="22" t="n">
        <v>45897</v>
      </c>
      <c r="C24" s="21" t="inlineStr">
        <is>
          <t>R02</t>
        </is>
      </c>
      <c r="D24" s="21" t="inlineStr">
        <is>
          <t>4000-Revenue</t>
        </is>
      </c>
      <c r="E24" s="26" t="n">
        <v>165257.5</v>
      </c>
      <c r="F24" s="24">
        <f>TEXT(B24,"mmm")</f>
        <v/>
      </c>
    </row>
    <row r="25">
      <c r="A25" s="21" t="inlineStr">
        <is>
          <t>JE-R02-09</t>
        </is>
      </c>
      <c r="B25" s="22" t="n">
        <v>45928</v>
      </c>
      <c r="C25" s="21" t="inlineStr">
        <is>
          <t>R02</t>
        </is>
      </c>
      <c r="D25" s="21" t="inlineStr">
        <is>
          <t>4000-Revenue</t>
        </is>
      </c>
      <c r="E25" s="26" t="n">
        <v>94344.44</v>
      </c>
      <c r="F25" s="24">
        <f>TEXT(B25,"mmm")</f>
        <v/>
      </c>
    </row>
    <row r="26">
      <c r="A26" s="21" t="inlineStr">
        <is>
          <t>JE-R02-10</t>
        </is>
      </c>
      <c r="B26" s="22" t="n">
        <v>45958</v>
      </c>
      <c r="C26" s="21" t="inlineStr">
        <is>
          <t>R02</t>
        </is>
      </c>
      <c r="D26" s="21" t="inlineStr">
        <is>
          <t>4000-Revenue</t>
        </is>
      </c>
      <c r="E26" s="26" t="n">
        <v>224540</v>
      </c>
      <c r="F26" s="24">
        <f>TEXT(B26,"mmm")</f>
        <v/>
      </c>
    </row>
    <row r="27">
      <c r="A27" s="21" t="inlineStr">
        <is>
          <t>JE-R02-11</t>
        </is>
      </c>
      <c r="B27" s="22" t="n">
        <v>45989</v>
      </c>
      <c r="C27" s="21" t="inlineStr">
        <is>
          <t>R02</t>
        </is>
      </c>
      <c r="D27" s="21" t="inlineStr">
        <is>
          <t>4000-Revenue</t>
        </is>
      </c>
      <c r="E27" s="26" t="n">
        <v>118198.53</v>
      </c>
      <c r="F27" s="24">
        <f>TEXT(B27,"mmm")</f>
        <v/>
      </c>
    </row>
    <row r="28">
      <c r="A28" s="21" t="inlineStr">
        <is>
          <t>JE-R02-12</t>
        </is>
      </c>
      <c r="B28" s="22" t="n">
        <v>46019</v>
      </c>
      <c r="C28" s="21" t="inlineStr">
        <is>
          <t>R02</t>
        </is>
      </c>
      <c r="D28" s="21" t="inlineStr">
        <is>
          <t>4000-Revenue</t>
        </is>
      </c>
      <c r="E28" s="26" t="n">
        <v>161376.5</v>
      </c>
      <c r="F28" s="24">
        <f>TEXT(B28,"mmm")</f>
        <v/>
      </c>
    </row>
    <row r="29">
      <c r="A29" s="21" t="inlineStr">
        <is>
          <t>JE-R03-01</t>
        </is>
      </c>
      <c r="B29" s="22" t="n">
        <v>45685</v>
      </c>
      <c r="C29" s="21" t="inlineStr">
        <is>
          <t>R03</t>
        </is>
      </c>
      <c r="D29" s="21" t="inlineStr">
        <is>
          <t>4000-Revenue</t>
        </is>
      </c>
      <c r="E29" s="26" t="n">
        <v>152118</v>
      </c>
      <c r="F29" s="24">
        <f>TEXT(B29,"mmm")</f>
        <v/>
      </c>
    </row>
    <row r="30">
      <c r="A30" s="21" t="inlineStr">
        <is>
          <t>JE-R03-02</t>
        </is>
      </c>
      <c r="B30" s="22" t="n">
        <v>45716</v>
      </c>
      <c r="C30" s="21" t="inlineStr">
        <is>
          <t>R03</t>
        </is>
      </c>
      <c r="D30" s="21" t="inlineStr">
        <is>
          <t>4000-Revenue</t>
        </is>
      </c>
      <c r="E30" s="26" t="n">
        <v>127875.5</v>
      </c>
      <c r="F30" s="24">
        <f>TEXT(B30,"mmm")</f>
        <v/>
      </c>
    </row>
    <row r="31">
      <c r="A31" s="21" t="inlineStr">
        <is>
          <t>JE-R03-03</t>
        </is>
      </c>
      <c r="B31" s="22" t="n">
        <v>45744</v>
      </c>
      <c r="C31" s="21" t="inlineStr">
        <is>
          <t>R03</t>
        </is>
      </c>
      <c r="D31" s="21" t="inlineStr">
        <is>
          <t>4000-Revenue</t>
        </is>
      </c>
      <c r="E31" s="26" t="n">
        <v>199497.5</v>
      </c>
      <c r="F31" s="24">
        <f>TEXT(B31,"mmm")</f>
        <v/>
      </c>
    </row>
    <row r="32">
      <c r="A32" s="21" t="inlineStr">
        <is>
          <t>JE-R03-04</t>
        </is>
      </c>
      <c r="B32" s="22" t="n">
        <v>45775</v>
      </c>
      <c r="C32" s="21" t="inlineStr">
        <is>
          <t>R03</t>
        </is>
      </c>
      <c r="D32" s="21" t="inlineStr">
        <is>
          <t>4000-Revenue</t>
        </is>
      </c>
      <c r="E32" s="26" t="n">
        <v>258066</v>
      </c>
      <c r="F32" s="24">
        <f>TEXT(B32,"mmm")</f>
        <v/>
      </c>
    </row>
    <row r="33">
      <c r="A33" s="21" t="inlineStr">
        <is>
          <t>JE-R03-05</t>
        </is>
      </c>
      <c r="B33" s="22" t="n">
        <v>45805</v>
      </c>
      <c r="C33" s="21" t="inlineStr">
        <is>
          <t>R03</t>
        </is>
      </c>
      <c r="D33" s="21" t="inlineStr">
        <is>
          <t>4000-Revenue</t>
        </is>
      </c>
      <c r="E33" s="26" t="n">
        <v>191077</v>
      </c>
      <c r="F33" s="24">
        <f>TEXT(B33,"mmm")</f>
        <v/>
      </c>
    </row>
    <row r="34">
      <c r="A34" s="21" t="inlineStr">
        <is>
          <t>JE-R03-06</t>
        </is>
      </c>
      <c r="B34" s="22" t="n">
        <v>45836</v>
      </c>
      <c r="C34" s="21" t="inlineStr">
        <is>
          <t>R03</t>
        </is>
      </c>
      <c r="D34" s="21" t="inlineStr">
        <is>
          <t>4000-Revenue</t>
        </is>
      </c>
      <c r="E34" s="26" t="n">
        <v>197597.5</v>
      </c>
      <c r="F34" s="24">
        <f>TEXT(B34,"mmm")</f>
        <v/>
      </c>
    </row>
    <row r="35">
      <c r="A35" s="21" t="inlineStr">
        <is>
          <t>JE-R03-07</t>
        </is>
      </c>
      <c r="B35" s="22" t="n">
        <v>45866</v>
      </c>
      <c r="C35" s="21" t="inlineStr">
        <is>
          <t>R03</t>
        </is>
      </c>
      <c r="D35" s="21" t="inlineStr">
        <is>
          <t>4000-Revenue</t>
        </is>
      </c>
      <c r="E35" s="26" t="n">
        <v>203181.83</v>
      </c>
      <c r="F35" s="24">
        <f>TEXT(B35,"mmm")</f>
        <v/>
      </c>
    </row>
    <row r="36">
      <c r="A36" s="21" t="inlineStr">
        <is>
          <t>JE-R03-08</t>
        </is>
      </c>
      <c r="B36" s="22" t="n">
        <v>45897</v>
      </c>
      <c r="C36" s="21" t="inlineStr">
        <is>
          <t>R03</t>
        </is>
      </c>
      <c r="D36" s="21" t="inlineStr">
        <is>
          <t>4000-Revenue</t>
        </is>
      </c>
      <c r="E36" s="26" t="n">
        <v>223601</v>
      </c>
      <c r="F36" s="24">
        <f>TEXT(B36,"mmm")</f>
        <v/>
      </c>
    </row>
    <row r="37">
      <c r="A37" s="21" t="inlineStr">
        <is>
          <t>JE-R03-09</t>
        </is>
      </c>
      <c r="B37" s="22" t="n">
        <v>45928</v>
      </c>
      <c r="C37" s="21" t="inlineStr">
        <is>
          <t>R03</t>
        </is>
      </c>
      <c r="D37" s="21" t="inlineStr">
        <is>
          <t>4000-Revenue</t>
        </is>
      </c>
      <c r="E37" s="26" t="n">
        <v>235002</v>
      </c>
      <c r="F37" s="24">
        <f>TEXT(B37,"mmm")</f>
        <v/>
      </c>
    </row>
    <row r="38">
      <c r="A38" s="21" t="inlineStr">
        <is>
          <t>JE-R03-10</t>
        </is>
      </c>
      <c r="B38" s="22" t="n">
        <v>45958</v>
      </c>
      <c r="C38" s="21" t="inlineStr">
        <is>
          <t>R03</t>
        </is>
      </c>
      <c r="D38" s="21" t="inlineStr">
        <is>
          <t>4000-Revenue</t>
        </is>
      </c>
      <c r="E38" s="26" t="n">
        <v>218805</v>
      </c>
      <c r="F38" s="24">
        <f>TEXT(B38,"mmm")</f>
        <v/>
      </c>
    </row>
    <row r="39">
      <c r="A39" s="21" t="inlineStr">
        <is>
          <t>JE-R03-11</t>
        </is>
      </c>
      <c r="B39" s="22" t="n">
        <v>45989</v>
      </c>
      <c r="C39" s="21" t="inlineStr">
        <is>
          <t>R03</t>
        </is>
      </c>
      <c r="D39" s="21" t="inlineStr">
        <is>
          <t>4000-Revenue</t>
        </is>
      </c>
      <c r="E39" s="26" t="n">
        <v>136204</v>
      </c>
      <c r="F39" s="24">
        <f>TEXT(B39,"mmm")</f>
        <v/>
      </c>
    </row>
    <row r="40">
      <c r="A40" s="21" t="inlineStr">
        <is>
          <t>JE-R03-12</t>
        </is>
      </c>
      <c r="B40" s="22" t="n">
        <v>46019</v>
      </c>
      <c r="C40" s="21" t="inlineStr">
        <is>
          <t>R03</t>
        </is>
      </c>
      <c r="D40" s="21" t="inlineStr">
        <is>
          <t>4000-Revenue</t>
        </is>
      </c>
      <c r="E40" s="26" t="n">
        <v>211184.5</v>
      </c>
      <c r="F40" s="24">
        <f>TEXT(B40,"mmm")</f>
        <v/>
      </c>
    </row>
    <row r="41">
      <c r="A41" s="21" t="inlineStr">
        <is>
          <t>JE-R04-01</t>
        </is>
      </c>
      <c r="B41" s="22" t="n">
        <v>45685</v>
      </c>
      <c r="C41" s="21" t="inlineStr">
        <is>
          <t>R04</t>
        </is>
      </c>
      <c r="D41" s="21" t="inlineStr">
        <is>
          <t>4000-Revenue</t>
        </is>
      </c>
      <c r="E41" s="26" t="n">
        <v>97784.5</v>
      </c>
      <c r="F41" s="24">
        <f>TEXT(B41,"mmm")</f>
        <v/>
      </c>
    </row>
    <row r="42">
      <c r="A42" s="21" t="inlineStr">
        <is>
          <t>JE-R04-02</t>
        </is>
      </c>
      <c r="B42" s="22" t="n">
        <v>45716</v>
      </c>
      <c r="C42" s="21" t="inlineStr">
        <is>
          <t>R04</t>
        </is>
      </c>
      <c r="D42" s="21" t="inlineStr">
        <is>
          <t>4000-Revenue</t>
        </is>
      </c>
      <c r="E42" s="26" t="n">
        <v>190760</v>
      </c>
      <c r="F42" s="24">
        <f>TEXT(B42,"mmm")</f>
        <v/>
      </c>
    </row>
    <row r="43">
      <c r="A43" s="21" t="inlineStr">
        <is>
          <t>JE-R04-03</t>
        </is>
      </c>
      <c r="B43" s="22" t="n">
        <v>45744</v>
      </c>
      <c r="C43" s="21" t="inlineStr">
        <is>
          <t>R04</t>
        </is>
      </c>
      <c r="D43" s="21" t="inlineStr">
        <is>
          <t>4000-Revenue</t>
        </is>
      </c>
      <c r="E43" s="26" t="n">
        <v>152596</v>
      </c>
      <c r="F43" s="24">
        <f>TEXT(B43,"mmm")</f>
        <v/>
      </c>
    </row>
    <row r="44">
      <c r="A44" s="21" t="inlineStr">
        <is>
          <t>JE-R04-04</t>
        </is>
      </c>
      <c r="B44" s="22" t="n">
        <v>45775</v>
      </c>
      <c r="C44" s="21" t="inlineStr">
        <is>
          <t>R04</t>
        </is>
      </c>
      <c r="D44" s="21" t="inlineStr">
        <is>
          <t>4000-Revenue</t>
        </is>
      </c>
      <c r="E44" s="26" t="n">
        <v>109348.58</v>
      </c>
      <c r="F44" s="24">
        <f>TEXT(B44,"mmm")</f>
        <v/>
      </c>
    </row>
    <row r="45">
      <c r="A45" s="21" t="inlineStr">
        <is>
          <t>JE-R04-05</t>
        </is>
      </c>
      <c r="B45" s="22" t="n">
        <v>45805</v>
      </c>
      <c r="C45" s="21" t="inlineStr">
        <is>
          <t>R04</t>
        </is>
      </c>
      <c r="D45" s="21" t="inlineStr">
        <is>
          <t>4000-Revenue</t>
        </is>
      </c>
      <c r="E45" s="26" t="n">
        <v>220084.96</v>
      </c>
      <c r="F45" s="24">
        <f>TEXT(B45,"mmm")</f>
        <v/>
      </c>
    </row>
    <row r="46">
      <c r="A46" s="21" t="inlineStr">
        <is>
          <t>JE-R04-06</t>
        </is>
      </c>
      <c r="B46" s="22" t="n">
        <v>45836</v>
      </c>
      <c r="C46" s="21" t="inlineStr">
        <is>
          <t>R04</t>
        </is>
      </c>
      <c r="D46" s="21" t="inlineStr">
        <is>
          <t>4000-Revenue</t>
        </is>
      </c>
      <c r="E46" s="26" t="n">
        <v>119332.5</v>
      </c>
      <c r="F46" s="24">
        <f>TEXT(B46,"mmm")</f>
        <v/>
      </c>
    </row>
    <row r="47">
      <c r="A47" s="21" t="inlineStr">
        <is>
          <t>JE-R04-07</t>
        </is>
      </c>
      <c r="B47" s="22" t="n">
        <v>45866</v>
      </c>
      <c r="C47" s="21" t="inlineStr">
        <is>
          <t>R04</t>
        </is>
      </c>
      <c r="D47" s="21" t="inlineStr">
        <is>
          <t>4000-Revenue</t>
        </is>
      </c>
      <c r="E47" s="26" t="n">
        <v>151349.5</v>
      </c>
      <c r="F47" s="24">
        <f>TEXT(B47,"mmm")</f>
        <v/>
      </c>
    </row>
    <row r="48">
      <c r="A48" s="21" t="inlineStr">
        <is>
          <t>JE-R04-08</t>
        </is>
      </c>
      <c r="B48" s="22" t="n">
        <v>45897</v>
      </c>
      <c r="C48" s="21" t="inlineStr">
        <is>
          <t>R04</t>
        </is>
      </c>
      <c r="D48" s="21" t="inlineStr">
        <is>
          <t>4000-Revenue</t>
        </is>
      </c>
      <c r="E48" s="26" t="n">
        <v>145204</v>
      </c>
      <c r="F48" s="24">
        <f>TEXT(B48,"mmm")</f>
        <v/>
      </c>
    </row>
    <row r="49">
      <c r="A49" s="21" t="inlineStr">
        <is>
          <t>JE-R04-09</t>
        </is>
      </c>
      <c r="B49" s="22" t="n">
        <v>45928</v>
      </c>
      <c r="C49" s="21" t="inlineStr">
        <is>
          <t>R04</t>
        </is>
      </c>
      <c r="D49" s="21" t="inlineStr">
        <is>
          <t>4000-Revenue</t>
        </is>
      </c>
      <c r="E49" s="26" t="n">
        <v>135287</v>
      </c>
      <c r="F49" s="24">
        <f>TEXT(B49,"mmm")</f>
        <v/>
      </c>
    </row>
    <row r="50">
      <c r="A50" s="21" t="inlineStr">
        <is>
          <t>JE-R04-10</t>
        </is>
      </c>
      <c r="B50" s="22" t="n">
        <v>45958</v>
      </c>
      <c r="C50" s="21" t="inlineStr">
        <is>
          <t>R04</t>
        </is>
      </c>
      <c r="D50" s="21" t="inlineStr">
        <is>
          <t>4000-Revenue</t>
        </is>
      </c>
      <c r="E50" s="26" t="n">
        <v>159803.32</v>
      </c>
      <c r="F50" s="24">
        <f>TEXT(B50,"mmm")</f>
        <v/>
      </c>
    </row>
    <row r="51">
      <c r="A51" s="21" t="inlineStr">
        <is>
          <t>JE-R04-11</t>
        </is>
      </c>
      <c r="B51" s="22" t="n">
        <v>45989</v>
      </c>
      <c r="C51" s="21" t="inlineStr">
        <is>
          <t>R04</t>
        </is>
      </c>
      <c r="D51" s="21" t="inlineStr">
        <is>
          <t>4000-Revenue</t>
        </is>
      </c>
      <c r="E51" s="26" t="n">
        <v>174511.5</v>
      </c>
      <c r="F51" s="24">
        <f>TEXT(B51,"mmm")</f>
        <v/>
      </c>
    </row>
    <row r="52">
      <c r="A52" s="21" t="inlineStr">
        <is>
          <t>JE-R04-12</t>
        </is>
      </c>
      <c r="B52" s="22" t="n">
        <v>46019</v>
      </c>
      <c r="C52" s="21" t="inlineStr">
        <is>
          <t>R04</t>
        </is>
      </c>
      <c r="D52" s="21" t="inlineStr">
        <is>
          <t>4000-Revenue</t>
        </is>
      </c>
      <c r="E52" s="26" t="n">
        <v>187460</v>
      </c>
      <c r="F52" s="24">
        <f>TEXT(B52,"mmm")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N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1" customWidth="1" min="4" max="4"/>
    <col width="15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>
      <c r="A1" s="1" t="inlineStr">
        <is>
          <t>Revenue Pivot: Region x Month ($)</t>
        </is>
      </c>
    </row>
    <row r="2">
      <c r="A2" s="2" t="inlineStr">
        <is>
          <t>Pivot-style summary via SUMIFS (refresh-free); see VBA module for native PivotTable</t>
        </is>
      </c>
    </row>
    <row r="4">
      <c r="A4" s="7" t="inlineStr">
        <is>
          <t>Region</t>
        </is>
      </c>
      <c r="B4" s="7" t="inlineStr">
        <is>
          <t>Jan</t>
        </is>
      </c>
      <c r="C4" s="7" t="inlineStr">
        <is>
          <t>Feb</t>
        </is>
      </c>
      <c r="D4" s="7" t="inlineStr">
        <is>
          <t>Mar</t>
        </is>
      </c>
      <c r="E4" s="7" t="inlineStr">
        <is>
          <t>Apr</t>
        </is>
      </c>
      <c r="F4" s="7" t="inlineStr">
        <is>
          <t>May</t>
        </is>
      </c>
      <c r="G4" s="7" t="inlineStr">
        <is>
          <t>Jun</t>
        </is>
      </c>
      <c r="H4" s="7" t="inlineStr">
        <is>
          <t>Jul</t>
        </is>
      </c>
      <c r="I4" s="7" t="inlineStr">
        <is>
          <t>Aug</t>
        </is>
      </c>
      <c r="J4" s="7" t="inlineStr">
        <is>
          <t>Sep</t>
        </is>
      </c>
      <c r="K4" s="7" t="inlineStr">
        <is>
          <t>Oct</t>
        </is>
      </c>
      <c r="L4" s="7" t="inlineStr">
        <is>
          <t>Nov</t>
        </is>
      </c>
      <c r="M4" s="7" t="inlineStr">
        <is>
          <t>Dec</t>
        </is>
      </c>
      <c r="N4" s="7" t="inlineStr">
        <is>
          <t>Total</t>
        </is>
      </c>
    </row>
    <row r="5">
      <c r="A5" s="3" t="inlineStr">
        <is>
          <t>North</t>
        </is>
      </c>
      <c r="B5" s="27">
        <f>SUMIFS(Data_Sales!$L$5:$L$1204,Data_Sales!$H$5:$H$1204,$A5,Data_Sales!$G$5:$G$1204,"Jan")</f>
        <v/>
      </c>
      <c r="C5" s="27">
        <f>SUMIFS(Data_Sales!$L$5:$L$1204,Data_Sales!$H$5:$H$1204,$A5,Data_Sales!$G$5:$G$1204,"Feb")</f>
        <v/>
      </c>
      <c r="D5" s="27">
        <f>SUMIFS(Data_Sales!$L$5:$L$1204,Data_Sales!$H$5:$H$1204,$A5,Data_Sales!$G$5:$G$1204,"Mar")</f>
        <v/>
      </c>
      <c r="E5" s="27">
        <f>SUMIFS(Data_Sales!$L$5:$L$1204,Data_Sales!$H$5:$H$1204,$A5,Data_Sales!$G$5:$G$1204,"Apr")</f>
        <v/>
      </c>
      <c r="F5" s="27">
        <f>SUMIFS(Data_Sales!$L$5:$L$1204,Data_Sales!$H$5:$H$1204,$A5,Data_Sales!$G$5:$G$1204,"May")</f>
        <v/>
      </c>
      <c r="G5" s="27">
        <f>SUMIFS(Data_Sales!$L$5:$L$1204,Data_Sales!$H$5:$H$1204,$A5,Data_Sales!$G$5:$G$1204,"Jun")</f>
        <v/>
      </c>
      <c r="H5" s="27">
        <f>SUMIFS(Data_Sales!$L$5:$L$1204,Data_Sales!$H$5:$H$1204,$A5,Data_Sales!$G$5:$G$1204,"Jul")</f>
        <v/>
      </c>
      <c r="I5" s="27">
        <f>SUMIFS(Data_Sales!$L$5:$L$1204,Data_Sales!$H$5:$H$1204,$A5,Data_Sales!$G$5:$G$1204,"Aug")</f>
        <v/>
      </c>
      <c r="J5" s="27">
        <f>SUMIFS(Data_Sales!$L$5:$L$1204,Data_Sales!$H$5:$H$1204,$A5,Data_Sales!$G$5:$G$1204,"Sep")</f>
        <v/>
      </c>
      <c r="K5" s="27">
        <f>SUMIFS(Data_Sales!$L$5:$L$1204,Data_Sales!$H$5:$H$1204,$A5,Data_Sales!$G$5:$G$1204,"Oct")</f>
        <v/>
      </c>
      <c r="L5" s="27">
        <f>SUMIFS(Data_Sales!$L$5:$L$1204,Data_Sales!$H$5:$H$1204,$A5,Data_Sales!$G$5:$G$1204,"Nov")</f>
        <v/>
      </c>
      <c r="M5" s="27">
        <f>SUMIFS(Data_Sales!$L$5:$L$1204,Data_Sales!$H$5:$H$1204,$A5,Data_Sales!$G$5:$G$1204,"Dec")</f>
        <v/>
      </c>
      <c r="N5" s="28">
        <f>SUM(B5:M5)</f>
        <v/>
      </c>
    </row>
    <row r="6">
      <c r="A6" s="3" t="inlineStr">
        <is>
          <t>South</t>
        </is>
      </c>
      <c r="B6" s="27">
        <f>SUMIFS(Data_Sales!$L$5:$L$1204,Data_Sales!$H$5:$H$1204,$A6,Data_Sales!$G$5:$G$1204,"Jan")</f>
        <v/>
      </c>
      <c r="C6" s="27">
        <f>SUMIFS(Data_Sales!$L$5:$L$1204,Data_Sales!$H$5:$H$1204,$A6,Data_Sales!$G$5:$G$1204,"Feb")</f>
        <v/>
      </c>
      <c r="D6" s="27">
        <f>SUMIFS(Data_Sales!$L$5:$L$1204,Data_Sales!$H$5:$H$1204,$A6,Data_Sales!$G$5:$G$1204,"Mar")</f>
        <v/>
      </c>
      <c r="E6" s="27">
        <f>SUMIFS(Data_Sales!$L$5:$L$1204,Data_Sales!$H$5:$H$1204,$A6,Data_Sales!$G$5:$G$1204,"Apr")</f>
        <v/>
      </c>
      <c r="F6" s="27">
        <f>SUMIFS(Data_Sales!$L$5:$L$1204,Data_Sales!$H$5:$H$1204,$A6,Data_Sales!$G$5:$G$1204,"May")</f>
        <v/>
      </c>
      <c r="G6" s="27">
        <f>SUMIFS(Data_Sales!$L$5:$L$1204,Data_Sales!$H$5:$H$1204,$A6,Data_Sales!$G$5:$G$1204,"Jun")</f>
        <v/>
      </c>
      <c r="H6" s="27">
        <f>SUMIFS(Data_Sales!$L$5:$L$1204,Data_Sales!$H$5:$H$1204,$A6,Data_Sales!$G$5:$G$1204,"Jul")</f>
        <v/>
      </c>
      <c r="I6" s="27">
        <f>SUMIFS(Data_Sales!$L$5:$L$1204,Data_Sales!$H$5:$H$1204,$A6,Data_Sales!$G$5:$G$1204,"Aug")</f>
        <v/>
      </c>
      <c r="J6" s="27">
        <f>SUMIFS(Data_Sales!$L$5:$L$1204,Data_Sales!$H$5:$H$1204,$A6,Data_Sales!$G$5:$G$1204,"Sep")</f>
        <v/>
      </c>
      <c r="K6" s="27">
        <f>SUMIFS(Data_Sales!$L$5:$L$1204,Data_Sales!$H$5:$H$1204,$A6,Data_Sales!$G$5:$G$1204,"Oct")</f>
        <v/>
      </c>
      <c r="L6" s="27">
        <f>SUMIFS(Data_Sales!$L$5:$L$1204,Data_Sales!$H$5:$H$1204,$A6,Data_Sales!$G$5:$G$1204,"Nov")</f>
        <v/>
      </c>
      <c r="M6" s="27">
        <f>SUMIFS(Data_Sales!$L$5:$L$1204,Data_Sales!$H$5:$H$1204,$A6,Data_Sales!$G$5:$G$1204,"Dec")</f>
        <v/>
      </c>
      <c r="N6" s="28">
        <f>SUM(B6:M6)</f>
        <v/>
      </c>
    </row>
    <row r="7">
      <c r="A7" s="3" t="inlineStr">
        <is>
          <t>East</t>
        </is>
      </c>
      <c r="B7" s="27">
        <f>SUMIFS(Data_Sales!$L$5:$L$1204,Data_Sales!$H$5:$H$1204,$A7,Data_Sales!$G$5:$G$1204,"Jan")</f>
        <v/>
      </c>
      <c r="C7" s="27">
        <f>SUMIFS(Data_Sales!$L$5:$L$1204,Data_Sales!$H$5:$H$1204,$A7,Data_Sales!$G$5:$G$1204,"Feb")</f>
        <v/>
      </c>
      <c r="D7" s="27">
        <f>SUMIFS(Data_Sales!$L$5:$L$1204,Data_Sales!$H$5:$H$1204,$A7,Data_Sales!$G$5:$G$1204,"Mar")</f>
        <v/>
      </c>
      <c r="E7" s="27">
        <f>SUMIFS(Data_Sales!$L$5:$L$1204,Data_Sales!$H$5:$H$1204,$A7,Data_Sales!$G$5:$G$1204,"Apr")</f>
        <v/>
      </c>
      <c r="F7" s="27">
        <f>SUMIFS(Data_Sales!$L$5:$L$1204,Data_Sales!$H$5:$H$1204,$A7,Data_Sales!$G$5:$G$1204,"May")</f>
        <v/>
      </c>
      <c r="G7" s="27">
        <f>SUMIFS(Data_Sales!$L$5:$L$1204,Data_Sales!$H$5:$H$1204,$A7,Data_Sales!$G$5:$G$1204,"Jun")</f>
        <v/>
      </c>
      <c r="H7" s="27">
        <f>SUMIFS(Data_Sales!$L$5:$L$1204,Data_Sales!$H$5:$H$1204,$A7,Data_Sales!$G$5:$G$1204,"Jul")</f>
        <v/>
      </c>
      <c r="I7" s="27">
        <f>SUMIFS(Data_Sales!$L$5:$L$1204,Data_Sales!$H$5:$H$1204,$A7,Data_Sales!$G$5:$G$1204,"Aug")</f>
        <v/>
      </c>
      <c r="J7" s="27">
        <f>SUMIFS(Data_Sales!$L$5:$L$1204,Data_Sales!$H$5:$H$1204,$A7,Data_Sales!$G$5:$G$1204,"Sep")</f>
        <v/>
      </c>
      <c r="K7" s="27">
        <f>SUMIFS(Data_Sales!$L$5:$L$1204,Data_Sales!$H$5:$H$1204,$A7,Data_Sales!$G$5:$G$1204,"Oct")</f>
        <v/>
      </c>
      <c r="L7" s="27">
        <f>SUMIFS(Data_Sales!$L$5:$L$1204,Data_Sales!$H$5:$H$1204,$A7,Data_Sales!$G$5:$G$1204,"Nov")</f>
        <v/>
      </c>
      <c r="M7" s="27">
        <f>SUMIFS(Data_Sales!$L$5:$L$1204,Data_Sales!$H$5:$H$1204,$A7,Data_Sales!$G$5:$G$1204,"Dec")</f>
        <v/>
      </c>
      <c r="N7" s="28">
        <f>SUM(B7:M7)</f>
        <v/>
      </c>
    </row>
    <row r="8">
      <c r="A8" s="3" t="inlineStr">
        <is>
          <t>West</t>
        </is>
      </c>
      <c r="B8" s="27">
        <f>SUMIFS(Data_Sales!$L$5:$L$1204,Data_Sales!$H$5:$H$1204,$A8,Data_Sales!$G$5:$G$1204,"Jan")</f>
        <v/>
      </c>
      <c r="C8" s="27">
        <f>SUMIFS(Data_Sales!$L$5:$L$1204,Data_Sales!$H$5:$H$1204,$A8,Data_Sales!$G$5:$G$1204,"Feb")</f>
        <v/>
      </c>
      <c r="D8" s="27">
        <f>SUMIFS(Data_Sales!$L$5:$L$1204,Data_Sales!$H$5:$H$1204,$A8,Data_Sales!$G$5:$G$1204,"Mar")</f>
        <v/>
      </c>
      <c r="E8" s="27">
        <f>SUMIFS(Data_Sales!$L$5:$L$1204,Data_Sales!$H$5:$H$1204,$A8,Data_Sales!$G$5:$G$1204,"Apr")</f>
        <v/>
      </c>
      <c r="F8" s="27">
        <f>SUMIFS(Data_Sales!$L$5:$L$1204,Data_Sales!$H$5:$H$1204,$A8,Data_Sales!$G$5:$G$1204,"May")</f>
        <v/>
      </c>
      <c r="G8" s="27">
        <f>SUMIFS(Data_Sales!$L$5:$L$1204,Data_Sales!$H$5:$H$1204,$A8,Data_Sales!$G$5:$G$1204,"Jun")</f>
        <v/>
      </c>
      <c r="H8" s="27">
        <f>SUMIFS(Data_Sales!$L$5:$L$1204,Data_Sales!$H$5:$H$1204,$A8,Data_Sales!$G$5:$G$1204,"Jul")</f>
        <v/>
      </c>
      <c r="I8" s="27">
        <f>SUMIFS(Data_Sales!$L$5:$L$1204,Data_Sales!$H$5:$H$1204,$A8,Data_Sales!$G$5:$G$1204,"Aug")</f>
        <v/>
      </c>
      <c r="J8" s="27">
        <f>SUMIFS(Data_Sales!$L$5:$L$1204,Data_Sales!$H$5:$H$1204,$A8,Data_Sales!$G$5:$G$1204,"Sep")</f>
        <v/>
      </c>
      <c r="K8" s="27">
        <f>SUMIFS(Data_Sales!$L$5:$L$1204,Data_Sales!$H$5:$H$1204,$A8,Data_Sales!$G$5:$G$1204,"Oct")</f>
        <v/>
      </c>
      <c r="L8" s="27">
        <f>SUMIFS(Data_Sales!$L$5:$L$1204,Data_Sales!$H$5:$H$1204,$A8,Data_Sales!$G$5:$G$1204,"Nov")</f>
        <v/>
      </c>
      <c r="M8" s="27">
        <f>SUMIFS(Data_Sales!$L$5:$L$1204,Data_Sales!$H$5:$H$1204,$A8,Data_Sales!$G$5:$G$1204,"Dec")</f>
        <v/>
      </c>
      <c r="N8" s="28">
        <f>SUM(B8:M8)</f>
        <v/>
      </c>
    </row>
    <row r="9">
      <c r="A9" s="3" t="inlineStr">
        <is>
          <t>Total</t>
        </is>
      </c>
      <c r="B9" s="29">
        <f>SUM(B5:B8)</f>
        <v/>
      </c>
      <c r="C9" s="29">
        <f>SUM(C5:C8)</f>
        <v/>
      </c>
      <c r="D9" s="29">
        <f>SUM(D5:D8)</f>
        <v/>
      </c>
      <c r="E9" s="29">
        <f>SUM(E5:E8)</f>
        <v/>
      </c>
      <c r="F9" s="29">
        <f>SUM(F5:F8)</f>
        <v/>
      </c>
      <c r="G9" s="29">
        <f>SUM(G5:G8)</f>
        <v/>
      </c>
      <c r="H9" s="29">
        <f>SUM(H5:H8)</f>
        <v/>
      </c>
      <c r="I9" s="29">
        <f>SUM(I5:I8)</f>
        <v/>
      </c>
      <c r="J9" s="29">
        <f>SUM(J5:J8)</f>
        <v/>
      </c>
      <c r="K9" s="29">
        <f>SUM(K5:K8)</f>
        <v/>
      </c>
      <c r="L9" s="29">
        <f>SUM(L5:L8)</f>
        <v/>
      </c>
      <c r="M9" s="29">
        <f>SUM(M5:M8)</f>
        <v/>
      </c>
      <c r="N9" s="29">
        <f>SUM(N5:N8)</f>
        <v/>
      </c>
    </row>
    <row r="11">
      <c r="A11" s="30" t="inlineStr">
        <is>
          <t>Revenue &amp; Gross Profit by Category</t>
        </is>
      </c>
    </row>
    <row r="12">
      <c r="A12" s="7" t="inlineStr">
        <is>
          <t>Category</t>
        </is>
      </c>
      <c r="B12" s="7" t="inlineStr">
        <is>
          <t>Net Revenue ($)</t>
        </is>
      </c>
      <c r="C12" s="7" t="inlineStr">
        <is>
          <t>Gross Profit ($)</t>
        </is>
      </c>
      <c r="D12" s="7" t="inlineStr">
        <is>
          <t>GP Margin %</t>
        </is>
      </c>
      <c r="E12" s="7" t="inlineStr">
        <is>
          <t>Share of Revenue</t>
        </is>
      </c>
    </row>
    <row r="13">
      <c r="A13" s="3" t="inlineStr">
        <is>
          <t>Hardware</t>
        </is>
      </c>
      <c r="B13" s="31">
        <f>SUMIF(Data_Sales!$J$5:$J$1204,A13,Data_Sales!$L$5:$L$1204)</f>
        <v/>
      </c>
      <c r="C13" s="31">
        <f>SUMIF(Data_Sales!$J$5:$J$1204,A13,Data_Sales!$M$5:$M$1204)</f>
        <v/>
      </c>
      <c r="D13" s="32">
        <f>IF(B13=0,0,C13/B13)</f>
        <v/>
      </c>
      <c r="E13" s="32">
        <f>IF($N$9=0,0,B13/$N$9)</f>
        <v/>
      </c>
    </row>
    <row r="14">
      <c r="A14" s="3" t="inlineStr">
        <is>
          <t>Services</t>
        </is>
      </c>
      <c r="B14" s="31">
        <f>SUMIF(Data_Sales!$J$5:$J$1204,A14,Data_Sales!$L$5:$L$1204)</f>
        <v/>
      </c>
      <c r="C14" s="31">
        <f>SUMIF(Data_Sales!$J$5:$J$1204,A14,Data_Sales!$M$5:$M$1204)</f>
        <v/>
      </c>
      <c r="D14" s="32">
        <f>IF(B14=0,0,C14/B14)</f>
        <v/>
      </c>
      <c r="E14" s="32">
        <f>IF($N$9=0,0,B14/$N$9)</f>
        <v/>
      </c>
    </row>
    <row r="15">
      <c r="A15" s="3" t="inlineStr">
        <is>
          <t>Software</t>
        </is>
      </c>
      <c r="B15" s="31">
        <f>SUMIF(Data_Sales!$J$5:$J$1204,A15,Data_Sales!$L$5:$L$1204)</f>
        <v/>
      </c>
      <c r="C15" s="31">
        <f>SUMIF(Data_Sales!$J$5:$J$1204,A15,Data_Sales!$M$5:$M$1204)</f>
        <v/>
      </c>
      <c r="D15" s="32">
        <f>IF(B15=0,0,C15/B15)</f>
        <v/>
      </c>
      <c r="E15" s="32">
        <f>IF($N$9=0,0,B15/$N$9)</f>
        <v/>
      </c>
    </row>
  </sheetData>
  <conditionalFormatting sqref="B5:M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:B15">
    <cfRule type="dataBar" priority="2">
      <dataBar>
        <cfvo type="min"/>
        <cfvo type="max"/>
        <color rgb="002E75B6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5" customWidth="1" min="4" max="4"/>
    <col width="10" customWidth="1" min="5" max="5"/>
    <col width="16" customWidth="1" min="6" max="6"/>
  </cols>
  <sheetData>
    <row r="1">
      <c r="A1" s="1" t="inlineStr">
        <is>
          <t>Monthly Reconciliation: ERP Sales vs General Ledger</t>
        </is>
      </c>
    </row>
    <row r="2">
      <c r="A2" s="2" t="inlineStr">
        <is>
          <t>Automated tie-out with tolerance from Assumptions</t>
        </is>
      </c>
    </row>
    <row r="4">
      <c r="A4" s="7" t="inlineStr">
        <is>
          <t>Month</t>
        </is>
      </c>
      <c r="B4" s="7" t="inlineStr">
        <is>
          <t>ERP Revenue ($)</t>
        </is>
      </c>
      <c r="C4" s="7" t="inlineStr">
        <is>
          <t>GL Revenue ($)</t>
        </is>
      </c>
      <c r="D4" s="7" t="inlineStr">
        <is>
          <t>Difference ($)</t>
        </is>
      </c>
      <c r="E4" s="7" t="inlineStr">
        <is>
          <t>Diff %</t>
        </is>
      </c>
      <c r="F4" s="7" t="inlineStr">
        <is>
          <t>Status</t>
        </is>
      </c>
    </row>
    <row r="5">
      <c r="A5" s="33" t="inlineStr">
        <is>
          <t>Jan</t>
        </is>
      </c>
      <c r="B5" s="27">
        <f>SUMIF(Data_Sales!$G$5:$G$1204,A5,Data_Sales!$L$5:$L$1204)</f>
        <v/>
      </c>
      <c r="C5" s="27">
        <f>SUMIF(Data_GL!$F$5:$F$52,A5,Data_GL!$E$5:$E$52)</f>
        <v/>
      </c>
      <c r="D5" s="31">
        <f>C5-B5</f>
        <v/>
      </c>
      <c r="E5" s="32">
        <f>IF(B5=0,0,D5/B5)</f>
        <v/>
      </c>
      <c r="F5" s="34">
        <f>IF(ABS(E5)&lt;=Assumptions!$B$9,"Reconciled","Investigate")</f>
        <v/>
      </c>
    </row>
    <row r="6">
      <c r="A6" s="33" t="inlineStr">
        <is>
          <t>Feb</t>
        </is>
      </c>
      <c r="B6" s="27">
        <f>SUMIF(Data_Sales!$G$5:$G$1204,A6,Data_Sales!$L$5:$L$1204)</f>
        <v/>
      </c>
      <c r="C6" s="27">
        <f>SUMIF(Data_GL!$F$5:$F$52,A6,Data_GL!$E$5:$E$52)</f>
        <v/>
      </c>
      <c r="D6" s="31">
        <f>C6-B6</f>
        <v/>
      </c>
      <c r="E6" s="32">
        <f>IF(B6=0,0,D6/B6)</f>
        <v/>
      </c>
      <c r="F6" s="34">
        <f>IF(ABS(E6)&lt;=Assumptions!$B$9,"Reconciled","Investigate")</f>
        <v/>
      </c>
    </row>
    <row r="7">
      <c r="A7" s="33" t="inlineStr">
        <is>
          <t>Mar</t>
        </is>
      </c>
      <c r="B7" s="27">
        <f>SUMIF(Data_Sales!$G$5:$G$1204,A7,Data_Sales!$L$5:$L$1204)</f>
        <v/>
      </c>
      <c r="C7" s="27">
        <f>SUMIF(Data_GL!$F$5:$F$52,A7,Data_GL!$E$5:$E$52)</f>
        <v/>
      </c>
      <c r="D7" s="31">
        <f>C7-B7</f>
        <v/>
      </c>
      <c r="E7" s="32">
        <f>IF(B7=0,0,D7/B7)</f>
        <v/>
      </c>
      <c r="F7" s="34">
        <f>IF(ABS(E7)&lt;=Assumptions!$B$9,"Reconciled","Investigate")</f>
        <v/>
      </c>
    </row>
    <row r="8">
      <c r="A8" s="33" t="inlineStr">
        <is>
          <t>Apr</t>
        </is>
      </c>
      <c r="B8" s="27">
        <f>SUMIF(Data_Sales!$G$5:$G$1204,A8,Data_Sales!$L$5:$L$1204)</f>
        <v/>
      </c>
      <c r="C8" s="27">
        <f>SUMIF(Data_GL!$F$5:$F$52,A8,Data_GL!$E$5:$E$52)</f>
        <v/>
      </c>
      <c r="D8" s="31">
        <f>C8-B8</f>
        <v/>
      </c>
      <c r="E8" s="32">
        <f>IF(B8=0,0,D8/B8)</f>
        <v/>
      </c>
      <c r="F8" s="34">
        <f>IF(ABS(E8)&lt;=Assumptions!$B$9,"Reconciled","Investigate")</f>
        <v/>
      </c>
    </row>
    <row r="9">
      <c r="A9" s="33" t="inlineStr">
        <is>
          <t>May</t>
        </is>
      </c>
      <c r="B9" s="27">
        <f>SUMIF(Data_Sales!$G$5:$G$1204,A9,Data_Sales!$L$5:$L$1204)</f>
        <v/>
      </c>
      <c r="C9" s="27">
        <f>SUMIF(Data_GL!$F$5:$F$52,A9,Data_GL!$E$5:$E$52)</f>
        <v/>
      </c>
      <c r="D9" s="31">
        <f>C9-B9</f>
        <v/>
      </c>
      <c r="E9" s="32">
        <f>IF(B9=0,0,D9/B9)</f>
        <v/>
      </c>
      <c r="F9" s="34">
        <f>IF(ABS(E9)&lt;=Assumptions!$B$9,"Reconciled","Investigate")</f>
        <v/>
      </c>
    </row>
    <row r="10">
      <c r="A10" s="33" t="inlineStr">
        <is>
          <t>Jun</t>
        </is>
      </c>
      <c r="B10" s="27">
        <f>SUMIF(Data_Sales!$G$5:$G$1204,A10,Data_Sales!$L$5:$L$1204)</f>
        <v/>
      </c>
      <c r="C10" s="27">
        <f>SUMIF(Data_GL!$F$5:$F$52,A10,Data_GL!$E$5:$E$52)</f>
        <v/>
      </c>
      <c r="D10" s="31">
        <f>C10-B10</f>
        <v/>
      </c>
      <c r="E10" s="32">
        <f>IF(B10=0,0,D10/B10)</f>
        <v/>
      </c>
      <c r="F10" s="34">
        <f>IF(ABS(E10)&lt;=Assumptions!$B$9,"Reconciled","Investigate")</f>
        <v/>
      </c>
    </row>
    <row r="11">
      <c r="A11" s="33" t="inlineStr">
        <is>
          <t>Jul</t>
        </is>
      </c>
      <c r="B11" s="27">
        <f>SUMIF(Data_Sales!$G$5:$G$1204,A11,Data_Sales!$L$5:$L$1204)</f>
        <v/>
      </c>
      <c r="C11" s="27">
        <f>SUMIF(Data_GL!$F$5:$F$52,A11,Data_GL!$E$5:$E$52)</f>
        <v/>
      </c>
      <c r="D11" s="31">
        <f>C11-B11</f>
        <v/>
      </c>
      <c r="E11" s="32">
        <f>IF(B11=0,0,D11/B11)</f>
        <v/>
      </c>
      <c r="F11" s="34">
        <f>IF(ABS(E11)&lt;=Assumptions!$B$9,"Reconciled","Investigate")</f>
        <v/>
      </c>
    </row>
    <row r="12">
      <c r="A12" s="33" t="inlineStr">
        <is>
          <t>Aug</t>
        </is>
      </c>
      <c r="B12" s="27">
        <f>SUMIF(Data_Sales!$G$5:$G$1204,A12,Data_Sales!$L$5:$L$1204)</f>
        <v/>
      </c>
      <c r="C12" s="27">
        <f>SUMIF(Data_GL!$F$5:$F$52,A12,Data_GL!$E$5:$E$52)</f>
        <v/>
      </c>
      <c r="D12" s="31">
        <f>C12-B12</f>
        <v/>
      </c>
      <c r="E12" s="32">
        <f>IF(B12=0,0,D12/B12)</f>
        <v/>
      </c>
      <c r="F12" s="34">
        <f>IF(ABS(E12)&lt;=Assumptions!$B$9,"Reconciled","Investigate")</f>
        <v/>
      </c>
    </row>
    <row r="13">
      <c r="A13" s="33" t="inlineStr">
        <is>
          <t>Sep</t>
        </is>
      </c>
      <c r="B13" s="27">
        <f>SUMIF(Data_Sales!$G$5:$G$1204,A13,Data_Sales!$L$5:$L$1204)</f>
        <v/>
      </c>
      <c r="C13" s="27">
        <f>SUMIF(Data_GL!$F$5:$F$52,A13,Data_GL!$E$5:$E$52)</f>
        <v/>
      </c>
      <c r="D13" s="31">
        <f>C13-B13</f>
        <v/>
      </c>
      <c r="E13" s="32">
        <f>IF(B13=0,0,D13/B13)</f>
        <v/>
      </c>
      <c r="F13" s="34">
        <f>IF(ABS(E13)&lt;=Assumptions!$B$9,"Reconciled","Investigate")</f>
        <v/>
      </c>
    </row>
    <row r="14">
      <c r="A14" s="33" t="inlineStr">
        <is>
          <t>Oct</t>
        </is>
      </c>
      <c r="B14" s="27">
        <f>SUMIF(Data_Sales!$G$5:$G$1204,A14,Data_Sales!$L$5:$L$1204)</f>
        <v/>
      </c>
      <c r="C14" s="27">
        <f>SUMIF(Data_GL!$F$5:$F$52,A14,Data_GL!$E$5:$E$52)</f>
        <v/>
      </c>
      <c r="D14" s="31">
        <f>C14-B14</f>
        <v/>
      </c>
      <c r="E14" s="32">
        <f>IF(B14=0,0,D14/B14)</f>
        <v/>
      </c>
      <c r="F14" s="34">
        <f>IF(ABS(E14)&lt;=Assumptions!$B$9,"Reconciled","Investigate")</f>
        <v/>
      </c>
    </row>
    <row r="15">
      <c r="A15" s="33" t="inlineStr">
        <is>
          <t>Nov</t>
        </is>
      </c>
      <c r="B15" s="27">
        <f>SUMIF(Data_Sales!$G$5:$G$1204,A15,Data_Sales!$L$5:$L$1204)</f>
        <v/>
      </c>
      <c r="C15" s="27">
        <f>SUMIF(Data_GL!$F$5:$F$52,A15,Data_GL!$E$5:$E$52)</f>
        <v/>
      </c>
      <c r="D15" s="31">
        <f>C15-B15</f>
        <v/>
      </c>
      <c r="E15" s="32">
        <f>IF(B15=0,0,D15/B15)</f>
        <v/>
      </c>
      <c r="F15" s="34">
        <f>IF(ABS(E15)&lt;=Assumptions!$B$9,"Reconciled","Investigate")</f>
        <v/>
      </c>
    </row>
    <row r="16">
      <c r="A16" s="33" t="inlineStr">
        <is>
          <t>Dec</t>
        </is>
      </c>
      <c r="B16" s="27">
        <f>SUMIF(Data_Sales!$G$5:$G$1204,A16,Data_Sales!$L$5:$L$1204)</f>
        <v/>
      </c>
      <c r="C16" s="27">
        <f>SUMIF(Data_GL!$F$5:$F$52,A16,Data_GL!$E$5:$E$52)</f>
        <v/>
      </c>
      <c r="D16" s="31">
        <f>C16-B16</f>
        <v/>
      </c>
      <c r="E16" s="32">
        <f>IF(B16=0,0,D16/B16)</f>
        <v/>
      </c>
      <c r="F16" s="34">
        <f>IF(ABS(E16)&lt;=Assumptions!$B$9,"Reconciled","Investigate")</f>
        <v/>
      </c>
    </row>
    <row r="17">
      <c r="A17" s="35" t="inlineStr">
        <is>
          <t>Total</t>
        </is>
      </c>
      <c r="B17" s="29">
        <f>SUM(B5:B16)</f>
        <v/>
      </c>
      <c r="C17" s="29">
        <f>SUM(C5:C16)</f>
        <v/>
      </c>
      <c r="D17" s="29">
        <f>SUM(D5:D16)</f>
        <v/>
      </c>
      <c r="E17" s="36">
        <f>IF(B17=0,0,D17/B17)</f>
        <v/>
      </c>
      <c r="F17" s="35">
        <f>COUNTIF(F5:F16,"Investigate")&amp;" exception(s)"</f>
        <v/>
      </c>
    </row>
  </sheetData>
  <conditionalFormatting sqref="F5:F16">
    <cfRule type="cellIs" priority="1" operator="equal" dxfId="2">
      <formula>"Reconciled"</formula>
    </cfRule>
    <cfRule type="cellIs" priority="2" operator="equal" dxfId="3">
      <formula>"Investigate"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2" customWidth="1" min="5" max="5"/>
    <col width="11" customWidth="1" min="6" max="6"/>
    <col width="15" customWidth="1" min="7" max="7"/>
    <col width="15" customWidth="1" min="8" max="8"/>
    <col width="11" customWidth="1" min="9" max="9"/>
  </cols>
  <sheetData>
    <row r="1">
      <c r="A1" s="1" t="inlineStr">
        <is>
          <t>Budget vs Actual - Variance Analysis</t>
        </is>
      </c>
    </row>
    <row r="2">
      <c r="A2" s="2" t="inlineStr">
        <is>
          <t>Budget derived from Assumptions; variances flagged vs alert threshold</t>
        </is>
      </c>
    </row>
    <row r="4">
      <c r="A4" s="7" t="inlineStr">
        <is>
          <t>Month</t>
        </is>
      </c>
      <c r="B4" s="7" t="inlineStr">
        <is>
          <t>Actual ($)</t>
        </is>
      </c>
      <c r="C4" s="7" t="inlineStr">
        <is>
          <t>Budget ($)</t>
        </is>
      </c>
      <c r="D4" s="7" t="inlineStr">
        <is>
          <t>Variance ($)</t>
        </is>
      </c>
      <c r="E4" s="7" t="inlineStr">
        <is>
          <t>Variance %</t>
        </is>
      </c>
      <c r="F4" s="7" t="inlineStr">
        <is>
          <t>Flag</t>
        </is>
      </c>
      <c r="G4" s="7" t="inlineStr">
        <is>
          <t>YTD Actual ($)</t>
        </is>
      </c>
      <c r="H4" s="7" t="inlineStr">
        <is>
          <t>YTD Budget ($)</t>
        </is>
      </c>
      <c r="I4" s="7" t="inlineStr">
        <is>
          <t>YTD Var %</t>
        </is>
      </c>
    </row>
    <row r="5">
      <c r="A5" s="33" t="inlineStr">
        <is>
          <t>Jan</t>
        </is>
      </c>
      <c r="B5" s="27">
        <f>Pivot_Summary!B9</f>
        <v/>
      </c>
      <c r="C5" s="31">
        <f>ROUND(AVERAGE(Pivot_Summary!$B$9:$M$9)*(1+Assumptions!$B$8),-2)</f>
        <v/>
      </c>
      <c r="D5" s="31">
        <f>B5-C5</f>
        <v/>
      </c>
      <c r="E5" s="32">
        <f>IF(C5=0,0,D5/C5)</f>
        <v/>
      </c>
      <c r="F5" s="34">
        <f>IF(E5&gt;Assumptions!$B$10,"Above",IF(E5&lt;-Assumptions!$B$10,"Below","On Track"))</f>
        <v/>
      </c>
      <c r="G5" s="31">
        <f>SUM($B$5:B5)</f>
        <v/>
      </c>
      <c r="H5" s="31">
        <f>SUM($C$5:C5)</f>
        <v/>
      </c>
      <c r="I5" s="32">
        <f>IF(H5=0,0,G5/H5-1)</f>
        <v/>
      </c>
    </row>
    <row r="6">
      <c r="A6" s="33" t="inlineStr">
        <is>
          <t>Feb</t>
        </is>
      </c>
      <c r="B6" s="27">
        <f>Pivot_Summary!C9</f>
        <v/>
      </c>
      <c r="C6" s="31">
        <f>ROUND(AVERAGE(Pivot_Summary!$B$9:$M$9)*(1+Assumptions!$B$8),-2)</f>
        <v/>
      </c>
      <c r="D6" s="31">
        <f>B6-C6</f>
        <v/>
      </c>
      <c r="E6" s="32">
        <f>IF(C6=0,0,D6/C6)</f>
        <v/>
      </c>
      <c r="F6" s="34">
        <f>IF(E6&gt;Assumptions!$B$10,"Above",IF(E6&lt;-Assumptions!$B$10,"Below","On Track"))</f>
        <v/>
      </c>
      <c r="G6" s="31">
        <f>SUM($B$5:B6)</f>
        <v/>
      </c>
      <c r="H6" s="31">
        <f>SUM($C$5:C6)</f>
        <v/>
      </c>
      <c r="I6" s="32">
        <f>IF(H6=0,0,G6/H6-1)</f>
        <v/>
      </c>
    </row>
    <row r="7">
      <c r="A7" s="33" t="inlineStr">
        <is>
          <t>Mar</t>
        </is>
      </c>
      <c r="B7" s="27">
        <f>Pivot_Summary!D9</f>
        <v/>
      </c>
      <c r="C7" s="31">
        <f>ROUND(AVERAGE(Pivot_Summary!$B$9:$M$9)*(1+Assumptions!$B$8),-2)</f>
        <v/>
      </c>
      <c r="D7" s="31">
        <f>B7-C7</f>
        <v/>
      </c>
      <c r="E7" s="32">
        <f>IF(C7=0,0,D7/C7)</f>
        <v/>
      </c>
      <c r="F7" s="34">
        <f>IF(E7&gt;Assumptions!$B$10,"Above",IF(E7&lt;-Assumptions!$B$10,"Below","On Track"))</f>
        <v/>
      </c>
      <c r="G7" s="31">
        <f>SUM($B$5:B7)</f>
        <v/>
      </c>
      <c r="H7" s="31">
        <f>SUM($C$5:C7)</f>
        <v/>
      </c>
      <c r="I7" s="32">
        <f>IF(H7=0,0,G7/H7-1)</f>
        <v/>
      </c>
    </row>
    <row r="8">
      <c r="A8" s="33" t="inlineStr">
        <is>
          <t>Apr</t>
        </is>
      </c>
      <c r="B8" s="27">
        <f>Pivot_Summary!E9</f>
        <v/>
      </c>
      <c r="C8" s="31">
        <f>ROUND(AVERAGE(Pivot_Summary!$B$9:$M$9)*(1+Assumptions!$B$8),-2)</f>
        <v/>
      </c>
      <c r="D8" s="31">
        <f>B8-C8</f>
        <v/>
      </c>
      <c r="E8" s="32">
        <f>IF(C8=0,0,D8/C8)</f>
        <v/>
      </c>
      <c r="F8" s="34">
        <f>IF(E8&gt;Assumptions!$B$10,"Above",IF(E8&lt;-Assumptions!$B$10,"Below","On Track"))</f>
        <v/>
      </c>
      <c r="G8" s="31">
        <f>SUM($B$5:B8)</f>
        <v/>
      </c>
      <c r="H8" s="31">
        <f>SUM($C$5:C8)</f>
        <v/>
      </c>
      <c r="I8" s="32">
        <f>IF(H8=0,0,G8/H8-1)</f>
        <v/>
      </c>
    </row>
    <row r="9">
      <c r="A9" s="33" t="inlineStr">
        <is>
          <t>May</t>
        </is>
      </c>
      <c r="B9" s="27">
        <f>Pivot_Summary!F9</f>
        <v/>
      </c>
      <c r="C9" s="31">
        <f>ROUND(AVERAGE(Pivot_Summary!$B$9:$M$9)*(1+Assumptions!$B$8),-2)</f>
        <v/>
      </c>
      <c r="D9" s="31">
        <f>B9-C9</f>
        <v/>
      </c>
      <c r="E9" s="32">
        <f>IF(C9=0,0,D9/C9)</f>
        <v/>
      </c>
      <c r="F9" s="34">
        <f>IF(E9&gt;Assumptions!$B$10,"Above",IF(E9&lt;-Assumptions!$B$10,"Below","On Track"))</f>
        <v/>
      </c>
      <c r="G9" s="31">
        <f>SUM($B$5:B9)</f>
        <v/>
      </c>
      <c r="H9" s="31">
        <f>SUM($C$5:C9)</f>
        <v/>
      </c>
      <c r="I9" s="32">
        <f>IF(H9=0,0,G9/H9-1)</f>
        <v/>
      </c>
    </row>
    <row r="10">
      <c r="A10" s="33" t="inlineStr">
        <is>
          <t>Jun</t>
        </is>
      </c>
      <c r="B10" s="27">
        <f>Pivot_Summary!G9</f>
        <v/>
      </c>
      <c r="C10" s="31">
        <f>ROUND(AVERAGE(Pivot_Summary!$B$9:$M$9)*(1+Assumptions!$B$8),-2)</f>
        <v/>
      </c>
      <c r="D10" s="31">
        <f>B10-C10</f>
        <v/>
      </c>
      <c r="E10" s="32">
        <f>IF(C10=0,0,D10/C10)</f>
        <v/>
      </c>
      <c r="F10" s="34">
        <f>IF(E10&gt;Assumptions!$B$10,"Above",IF(E10&lt;-Assumptions!$B$10,"Below","On Track"))</f>
        <v/>
      </c>
      <c r="G10" s="31">
        <f>SUM($B$5:B10)</f>
        <v/>
      </c>
      <c r="H10" s="31">
        <f>SUM($C$5:C10)</f>
        <v/>
      </c>
      <c r="I10" s="32">
        <f>IF(H10=0,0,G10/H10-1)</f>
        <v/>
      </c>
    </row>
    <row r="11">
      <c r="A11" s="33" t="inlineStr">
        <is>
          <t>Jul</t>
        </is>
      </c>
      <c r="B11" s="27">
        <f>Pivot_Summary!H9</f>
        <v/>
      </c>
      <c r="C11" s="31">
        <f>ROUND(AVERAGE(Pivot_Summary!$B$9:$M$9)*(1+Assumptions!$B$8),-2)</f>
        <v/>
      </c>
      <c r="D11" s="31">
        <f>B11-C11</f>
        <v/>
      </c>
      <c r="E11" s="32">
        <f>IF(C11=0,0,D11/C11)</f>
        <v/>
      </c>
      <c r="F11" s="34">
        <f>IF(E11&gt;Assumptions!$B$10,"Above",IF(E11&lt;-Assumptions!$B$10,"Below","On Track"))</f>
        <v/>
      </c>
      <c r="G11" s="31">
        <f>SUM($B$5:B11)</f>
        <v/>
      </c>
      <c r="H11" s="31">
        <f>SUM($C$5:C11)</f>
        <v/>
      </c>
      <c r="I11" s="32">
        <f>IF(H11=0,0,G11/H11-1)</f>
        <v/>
      </c>
    </row>
    <row r="12">
      <c r="A12" s="33" t="inlineStr">
        <is>
          <t>Aug</t>
        </is>
      </c>
      <c r="B12" s="27">
        <f>Pivot_Summary!I9</f>
        <v/>
      </c>
      <c r="C12" s="31">
        <f>ROUND(AVERAGE(Pivot_Summary!$B$9:$M$9)*(1+Assumptions!$B$8),-2)</f>
        <v/>
      </c>
      <c r="D12" s="31">
        <f>B12-C12</f>
        <v/>
      </c>
      <c r="E12" s="32">
        <f>IF(C12=0,0,D12/C12)</f>
        <v/>
      </c>
      <c r="F12" s="34">
        <f>IF(E12&gt;Assumptions!$B$10,"Above",IF(E12&lt;-Assumptions!$B$10,"Below","On Track"))</f>
        <v/>
      </c>
      <c r="G12" s="31">
        <f>SUM($B$5:B12)</f>
        <v/>
      </c>
      <c r="H12" s="31">
        <f>SUM($C$5:C12)</f>
        <v/>
      </c>
      <c r="I12" s="32">
        <f>IF(H12=0,0,G12/H12-1)</f>
        <v/>
      </c>
    </row>
    <row r="13">
      <c r="A13" s="33" t="inlineStr">
        <is>
          <t>Sep</t>
        </is>
      </c>
      <c r="B13" s="27">
        <f>Pivot_Summary!J9</f>
        <v/>
      </c>
      <c r="C13" s="31">
        <f>ROUND(AVERAGE(Pivot_Summary!$B$9:$M$9)*(1+Assumptions!$B$8),-2)</f>
        <v/>
      </c>
      <c r="D13" s="31">
        <f>B13-C13</f>
        <v/>
      </c>
      <c r="E13" s="32">
        <f>IF(C13=0,0,D13/C13)</f>
        <v/>
      </c>
      <c r="F13" s="34">
        <f>IF(E13&gt;Assumptions!$B$10,"Above",IF(E13&lt;-Assumptions!$B$10,"Below","On Track"))</f>
        <v/>
      </c>
      <c r="G13" s="31">
        <f>SUM($B$5:B13)</f>
        <v/>
      </c>
      <c r="H13" s="31">
        <f>SUM($C$5:C13)</f>
        <v/>
      </c>
      <c r="I13" s="32">
        <f>IF(H13=0,0,G13/H13-1)</f>
        <v/>
      </c>
    </row>
    <row r="14">
      <c r="A14" s="33" t="inlineStr">
        <is>
          <t>Oct</t>
        </is>
      </c>
      <c r="B14" s="27">
        <f>Pivot_Summary!K9</f>
        <v/>
      </c>
      <c r="C14" s="31">
        <f>ROUND(AVERAGE(Pivot_Summary!$B$9:$M$9)*(1+Assumptions!$B$8),-2)</f>
        <v/>
      </c>
      <c r="D14" s="31">
        <f>B14-C14</f>
        <v/>
      </c>
      <c r="E14" s="32">
        <f>IF(C14=0,0,D14/C14)</f>
        <v/>
      </c>
      <c r="F14" s="34">
        <f>IF(E14&gt;Assumptions!$B$10,"Above",IF(E14&lt;-Assumptions!$B$10,"Below","On Track"))</f>
        <v/>
      </c>
      <c r="G14" s="31">
        <f>SUM($B$5:B14)</f>
        <v/>
      </c>
      <c r="H14" s="31">
        <f>SUM($C$5:C14)</f>
        <v/>
      </c>
      <c r="I14" s="32">
        <f>IF(H14=0,0,G14/H14-1)</f>
        <v/>
      </c>
    </row>
    <row r="15">
      <c r="A15" s="33" t="inlineStr">
        <is>
          <t>Nov</t>
        </is>
      </c>
      <c r="B15" s="27">
        <f>Pivot_Summary!L9</f>
        <v/>
      </c>
      <c r="C15" s="31">
        <f>ROUND(AVERAGE(Pivot_Summary!$B$9:$M$9)*(1+Assumptions!$B$8),-2)</f>
        <v/>
      </c>
      <c r="D15" s="31">
        <f>B15-C15</f>
        <v/>
      </c>
      <c r="E15" s="32">
        <f>IF(C15=0,0,D15/C15)</f>
        <v/>
      </c>
      <c r="F15" s="34">
        <f>IF(E15&gt;Assumptions!$B$10,"Above",IF(E15&lt;-Assumptions!$B$10,"Below","On Track"))</f>
        <v/>
      </c>
      <c r="G15" s="31">
        <f>SUM($B$5:B15)</f>
        <v/>
      </c>
      <c r="H15" s="31">
        <f>SUM($C$5:C15)</f>
        <v/>
      </c>
      <c r="I15" s="32">
        <f>IF(H15=0,0,G15/H15-1)</f>
        <v/>
      </c>
    </row>
    <row r="16">
      <c r="A16" s="33" t="inlineStr">
        <is>
          <t>Dec</t>
        </is>
      </c>
      <c r="B16" s="27">
        <f>Pivot_Summary!M9</f>
        <v/>
      </c>
      <c r="C16" s="31">
        <f>ROUND(AVERAGE(Pivot_Summary!$B$9:$M$9)*(1+Assumptions!$B$8),-2)</f>
        <v/>
      </c>
      <c r="D16" s="31">
        <f>B16-C16</f>
        <v/>
      </c>
      <c r="E16" s="32">
        <f>IF(C16=0,0,D16/C16)</f>
        <v/>
      </c>
      <c r="F16" s="34">
        <f>IF(E16&gt;Assumptions!$B$10,"Above",IF(E16&lt;-Assumptions!$B$10,"Below","On Track"))</f>
        <v/>
      </c>
      <c r="G16" s="31">
        <f>SUM($B$5:B16)</f>
        <v/>
      </c>
      <c r="H16" s="31">
        <f>SUM($C$5:C16)</f>
        <v/>
      </c>
      <c r="I16" s="32">
        <f>IF(H16=0,0,G16/H16-1)</f>
        <v/>
      </c>
    </row>
    <row r="17">
      <c r="A17" s="35" t="inlineStr">
        <is>
          <t>Total</t>
        </is>
      </c>
      <c r="B17" s="29">
        <f>SUM(B5:B16)</f>
        <v/>
      </c>
      <c r="C17" s="29">
        <f>SUM(C5:C16)</f>
        <v/>
      </c>
      <c r="D17" s="29">
        <f>SUM(D5:D16)</f>
        <v/>
      </c>
      <c r="E17" s="36">
        <f>IF(C17=0,0,D17/C17)</f>
        <v/>
      </c>
      <c r="F17" s="35" t="n"/>
      <c r="G17" s="35" t="n"/>
      <c r="H17" s="35" t="n"/>
      <c r="I17" s="35" t="n"/>
    </row>
  </sheetData>
  <conditionalFormatting sqref="D5:D16">
    <cfRule type="cellIs" priority="1" operator="lessThan" dxfId="4">
      <formula>0</formula>
    </cfRule>
  </conditionalFormatting>
  <conditionalFormatting sqref="F5:F16">
    <cfRule type="expression" priority="2" dxfId="1">
      <formula>F5="Below"</formula>
    </cfRule>
    <cfRule type="expression" priority="3" dxfId="5">
      <formula>F5="Above"</formula>
    </cfRule>
  </conditionalFormatting>
  <conditionalFormatting sqref="E5:E16">
    <cfRule type="dataBar" priority="4">
      <dataBar>
        <cfvo type="min"/>
        <cfvo type="max"/>
        <color rgb="005B9BD5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7" customWidth="1" min="4" max="4"/>
    <col width="22" customWidth="1" min="5" max="5"/>
    <col width="14" customWidth="1" min="6" max="6"/>
  </cols>
  <sheetData>
    <row r="1">
      <c r="A1" s="1" t="inlineStr">
        <is>
          <t>12-Month Rolling Forecast (2026)</t>
        </is>
      </c>
    </row>
    <row r="2">
      <c r="A2" s="2" t="inlineStr">
        <is>
          <t>Base = last-3-month average actual; driven by Assumptions</t>
        </is>
      </c>
    </row>
    <row r="4">
      <c r="A4" t="inlineStr">
        <is>
          <t>Forecast base (avg last 3 months actual)</t>
        </is>
      </c>
      <c r="D4" s="37">
        <f>AVERAGE(Budget_vs_Actual!B14:B16)</f>
        <v/>
      </c>
    </row>
    <row r="6">
      <c r="A6" s="7" t="inlineStr">
        <is>
          <t>Month</t>
        </is>
      </c>
      <c r="B6" s="7" t="inlineStr">
        <is>
          <t>Period #</t>
        </is>
      </c>
      <c r="C6" s="7" t="inlineStr">
        <is>
          <t>Forecast Revenue ($)</t>
        </is>
      </c>
      <c r="D6" s="7" t="inlineStr">
        <is>
          <t>Forecast GP ($)</t>
        </is>
      </c>
      <c r="E6" s="7" t="inlineStr">
        <is>
          <t>Cumulative Revenue ($)</t>
        </is>
      </c>
      <c r="F6" s="7" t="inlineStr">
        <is>
          <t>MoM Growth %</t>
        </is>
      </c>
    </row>
    <row r="7">
      <c r="A7" s="33" t="inlineStr">
        <is>
          <t>Jan-26</t>
        </is>
      </c>
      <c r="B7" s="17" t="n">
        <v>1</v>
      </c>
      <c r="C7" s="31">
        <f>$D$4*(1+Assumptions!$B$5)^B7*IF(B7&gt;=10,1+Assumptions!$B$6,1)</f>
        <v/>
      </c>
      <c r="D7" s="31">
        <f>C7*Assumptions!$B$7</f>
        <v/>
      </c>
      <c r="E7" s="31">
        <f>SUM($C$7:C7)</f>
        <v/>
      </c>
      <c r="F7" s="32">
        <f>0</f>
        <v/>
      </c>
    </row>
    <row r="8">
      <c r="A8" s="33" t="inlineStr">
        <is>
          <t>Feb-26</t>
        </is>
      </c>
      <c r="B8" s="17" t="n">
        <v>2</v>
      </c>
      <c r="C8" s="31">
        <f>$D$4*(1+Assumptions!$B$5)^B8*IF(B8&gt;=10,1+Assumptions!$B$6,1)</f>
        <v/>
      </c>
      <c r="D8" s="31">
        <f>C8*Assumptions!$B$7</f>
        <v/>
      </c>
      <c r="E8" s="31">
        <f>SUM($C$7:C8)</f>
        <v/>
      </c>
      <c r="F8" s="32">
        <f>IF(C7=0,0,C8/C7-1)</f>
        <v/>
      </c>
    </row>
    <row r="9">
      <c r="A9" s="33" t="inlineStr">
        <is>
          <t>Mar-26</t>
        </is>
      </c>
      <c r="B9" s="17" t="n">
        <v>3</v>
      </c>
      <c r="C9" s="31">
        <f>$D$4*(1+Assumptions!$B$5)^B9*IF(B9&gt;=10,1+Assumptions!$B$6,1)</f>
        <v/>
      </c>
      <c r="D9" s="31">
        <f>C9*Assumptions!$B$7</f>
        <v/>
      </c>
      <c r="E9" s="31">
        <f>SUM($C$7:C9)</f>
        <v/>
      </c>
      <c r="F9" s="32">
        <f>IF(C8=0,0,C9/C8-1)</f>
        <v/>
      </c>
    </row>
    <row r="10">
      <c r="A10" s="33" t="inlineStr">
        <is>
          <t>Apr-26</t>
        </is>
      </c>
      <c r="B10" s="17" t="n">
        <v>4</v>
      </c>
      <c r="C10" s="31">
        <f>$D$4*(1+Assumptions!$B$5)^B10*IF(B10&gt;=10,1+Assumptions!$B$6,1)</f>
        <v/>
      </c>
      <c r="D10" s="31">
        <f>C10*Assumptions!$B$7</f>
        <v/>
      </c>
      <c r="E10" s="31">
        <f>SUM($C$7:C10)</f>
        <v/>
      </c>
      <c r="F10" s="32">
        <f>IF(C9=0,0,C10/C9-1)</f>
        <v/>
      </c>
    </row>
    <row r="11">
      <c r="A11" s="33" t="inlineStr">
        <is>
          <t>May-26</t>
        </is>
      </c>
      <c r="B11" s="17" t="n">
        <v>5</v>
      </c>
      <c r="C11" s="31">
        <f>$D$4*(1+Assumptions!$B$5)^B11*IF(B11&gt;=10,1+Assumptions!$B$6,1)</f>
        <v/>
      </c>
      <c r="D11" s="31">
        <f>C11*Assumptions!$B$7</f>
        <v/>
      </c>
      <c r="E11" s="31">
        <f>SUM($C$7:C11)</f>
        <v/>
      </c>
      <c r="F11" s="32">
        <f>IF(C10=0,0,C11/C10-1)</f>
        <v/>
      </c>
    </row>
    <row r="12">
      <c r="A12" s="33" t="inlineStr">
        <is>
          <t>Jun-26</t>
        </is>
      </c>
      <c r="B12" s="17" t="n">
        <v>6</v>
      </c>
      <c r="C12" s="31">
        <f>$D$4*(1+Assumptions!$B$5)^B12*IF(B12&gt;=10,1+Assumptions!$B$6,1)</f>
        <v/>
      </c>
      <c r="D12" s="31">
        <f>C12*Assumptions!$B$7</f>
        <v/>
      </c>
      <c r="E12" s="31">
        <f>SUM($C$7:C12)</f>
        <v/>
      </c>
      <c r="F12" s="32">
        <f>IF(C11=0,0,C12/C11-1)</f>
        <v/>
      </c>
    </row>
    <row r="13">
      <c r="A13" s="33" t="inlineStr">
        <is>
          <t>Jul-26</t>
        </is>
      </c>
      <c r="B13" s="17" t="n">
        <v>7</v>
      </c>
      <c r="C13" s="31">
        <f>$D$4*(1+Assumptions!$B$5)^B13*IF(B13&gt;=10,1+Assumptions!$B$6,1)</f>
        <v/>
      </c>
      <c r="D13" s="31">
        <f>C13*Assumptions!$B$7</f>
        <v/>
      </c>
      <c r="E13" s="31">
        <f>SUM($C$7:C13)</f>
        <v/>
      </c>
      <c r="F13" s="32">
        <f>IF(C12=0,0,C13/C12-1)</f>
        <v/>
      </c>
    </row>
    <row r="14">
      <c r="A14" s="33" t="inlineStr">
        <is>
          <t>Aug-26</t>
        </is>
      </c>
      <c r="B14" s="17" t="n">
        <v>8</v>
      </c>
      <c r="C14" s="31">
        <f>$D$4*(1+Assumptions!$B$5)^B14*IF(B14&gt;=10,1+Assumptions!$B$6,1)</f>
        <v/>
      </c>
      <c r="D14" s="31">
        <f>C14*Assumptions!$B$7</f>
        <v/>
      </c>
      <c r="E14" s="31">
        <f>SUM($C$7:C14)</f>
        <v/>
      </c>
      <c r="F14" s="32">
        <f>IF(C13=0,0,C14/C13-1)</f>
        <v/>
      </c>
    </row>
    <row r="15">
      <c r="A15" s="33" t="inlineStr">
        <is>
          <t>Sep-26</t>
        </is>
      </c>
      <c r="B15" s="17" t="n">
        <v>9</v>
      </c>
      <c r="C15" s="31">
        <f>$D$4*(1+Assumptions!$B$5)^B15*IF(B15&gt;=10,1+Assumptions!$B$6,1)</f>
        <v/>
      </c>
      <c r="D15" s="31">
        <f>C15*Assumptions!$B$7</f>
        <v/>
      </c>
      <c r="E15" s="31">
        <f>SUM($C$7:C15)</f>
        <v/>
      </c>
      <c r="F15" s="32">
        <f>IF(C14=0,0,C15/C14-1)</f>
        <v/>
      </c>
    </row>
    <row r="16">
      <c r="A16" s="33" t="inlineStr">
        <is>
          <t>Oct-26</t>
        </is>
      </c>
      <c r="B16" s="17" t="n">
        <v>10</v>
      </c>
      <c r="C16" s="31">
        <f>$D$4*(1+Assumptions!$B$5)^B16*IF(B16&gt;=10,1+Assumptions!$B$6,1)</f>
        <v/>
      </c>
      <c r="D16" s="31">
        <f>C16*Assumptions!$B$7</f>
        <v/>
      </c>
      <c r="E16" s="31">
        <f>SUM($C$7:C16)</f>
        <v/>
      </c>
      <c r="F16" s="32">
        <f>IF(C15=0,0,C16/C15-1)</f>
        <v/>
      </c>
    </row>
    <row r="17">
      <c r="A17" s="33" t="inlineStr">
        <is>
          <t>Nov-26</t>
        </is>
      </c>
      <c r="B17" s="17" t="n">
        <v>11</v>
      </c>
      <c r="C17" s="31">
        <f>$D$4*(1+Assumptions!$B$5)^B17*IF(B17&gt;=10,1+Assumptions!$B$6,1)</f>
        <v/>
      </c>
      <c r="D17" s="31">
        <f>C17*Assumptions!$B$7</f>
        <v/>
      </c>
      <c r="E17" s="31">
        <f>SUM($C$7:C17)</f>
        <v/>
      </c>
      <c r="F17" s="32">
        <f>IF(C16=0,0,C17/C16-1)</f>
        <v/>
      </c>
    </row>
    <row r="18">
      <c r="A18" s="33" t="inlineStr">
        <is>
          <t>Dec-26</t>
        </is>
      </c>
      <c r="B18" s="17" t="n">
        <v>12</v>
      </c>
      <c r="C18" s="31">
        <f>$D$4*(1+Assumptions!$B$5)^B18*IF(B18&gt;=10,1+Assumptions!$B$6,1)</f>
        <v/>
      </c>
      <c r="D18" s="31">
        <f>C18*Assumptions!$B$7</f>
        <v/>
      </c>
      <c r="E18" s="31">
        <f>SUM($C$7:C18)</f>
        <v/>
      </c>
      <c r="F18" s="32">
        <f>IF(C17=0,0,C18/C17-1)</f>
        <v/>
      </c>
    </row>
    <row r="19">
      <c r="A19" s="35" t="inlineStr">
        <is>
          <t>Total</t>
        </is>
      </c>
      <c r="B19" s="35" t="n"/>
      <c r="C19" s="29">
        <f>SUM(C7:C18)</f>
        <v/>
      </c>
      <c r="D19" s="29">
        <f>SUM(D7:D18)</f>
        <v/>
      </c>
      <c r="E19" s="35" t="n"/>
      <c r="F19" s="35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2026-09-27T17:12:00Z</dcterms:created>
  <dcterms:modified xmlns:dcterms="http://purl.org/dc/terms/" xmlns:xsi="http://www.w3.org/2001/XMLSchema-instance" xsi:type="dcterms:W3CDTF">2026-09-27T17:12:00Z</dcterms:modified>
</cp:coreProperties>
</file>